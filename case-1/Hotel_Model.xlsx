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водные" sheetId="1" state="visible" r:id="rId3"/>
    <sheet name="База" sheetId="2" state="visible" r:id="rId4"/>
    <sheet name="Юнит_экономика" sheetId="3" state="visible" r:id="rId5"/>
    <sheet name="Стресс_тесты" sheetId="4" state="visible" r:id="rId6"/>
    <sheet name="Мост_прибыли" sheetId="5" state="visible" r:id="rId7"/>
    <sheet name="Карта" sheetId="6" state="visible" r:id="rId8"/>
    <sheet name="Сверка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<sst xmlns="http://schemas.openxmlformats.org/spreadsheetml/2006/main" count="675" uniqueCount="407">
  <si>
    <t xml:space="preserve">Модель прибыльности отеля — исходные данные</t>
  </si>
  <si>
    <t xml:space="preserve">Корпоративный отель на 8 номеров, Бишкек · данные интервью с владельцем, не аудированы · деньги — тыс. сом в месяц, если не указано иное</t>
  </si>
  <si>
    <t xml:space="preserve">Как читать</t>
  </si>
  <si>
    <t xml:space="preserve">Синий шрифт — вводимое значение (меняйте только их)</t>
  </si>
  <si>
    <t xml:space="preserve">Листы: База → Юнит_экономика → Стресс_тесты → Мост_прибыли → Карта → Сверка. Параметры шоков и сценариев лежат на листах Стресс_тесты и Мост_прибыли (тоже синие).</t>
  </si>
  <si>
    <t xml:space="preserve">Чёрный шрифт — формула</t>
  </si>
  <si>
    <t xml:space="preserve">Зелёный шрифт — ссылка на другой лист</t>
  </si>
  <si>
    <t xml:space="preserve">Жёлтая заливка — допущение автора кейса (владелец его не называл)</t>
  </si>
  <si>
    <t xml:space="preserve">Параметр</t>
  </si>
  <si>
    <t xml:space="preserve">Значение</t>
  </si>
  <si>
    <t xml:space="preserve">Ед.</t>
  </si>
  <si>
    <t xml:space="preserve">Тип данных</t>
  </si>
  <si>
    <t xml:space="preserve">Источник / комментарий</t>
  </si>
  <si>
    <t xml:space="preserve">Объект и продажи</t>
  </si>
  <si>
    <t xml:space="preserve">Номеров</t>
  </si>
  <si>
    <t xml:space="preserve">шт</t>
  </si>
  <si>
    <t xml:space="preserve">Заявлено владельцем</t>
  </si>
  <si>
    <t xml:space="preserve">Шапка кейса</t>
  </si>
  <si>
    <t xml:space="preserve">Дней в году (для номеро-ночей)</t>
  </si>
  <si>
    <t xml:space="preserve">дней</t>
  </si>
  <si>
    <t xml:space="preserve">Расчёт</t>
  </si>
  <si>
    <t xml:space="preserve">Номеро-ночей в месяц = номера × 365 ÷ 12 = 243,3</t>
  </si>
  <si>
    <t xml:space="preserve">Загрузка</t>
  </si>
  <si>
    <t xml:space="preserve">%</t>
  </si>
  <si>
    <t xml:space="preserve">Раздел 3; три цифры (загрузка, ADR, выручка) между собой не сходятся — раздел 4</t>
  </si>
  <si>
    <t xml:space="preserve">ADR — прейскурантная средняя цена за ночь</t>
  </si>
  <si>
    <t xml:space="preserve">сом</t>
  </si>
  <si>
    <t xml:space="preserve">Раздел 2</t>
  </si>
  <si>
    <t xml:space="preserve">Выручка в месяц — опорная точка модели</t>
  </si>
  <si>
    <t xml:space="preserve">тыс. сом/мес</t>
  </si>
  <si>
    <t xml:space="preserve">По записям владельца; модель привязана к ней, а не к загрузка × ADR (раздел 4)</t>
  </si>
  <si>
    <t xml:space="preserve">Постоянные затраты</t>
  </si>
  <si>
    <t xml:space="preserve">Аренда</t>
  </si>
  <si>
    <t xml:space="preserve">Фиксирована, без индексации первые 5 лет; срок договора 3 года</t>
  </si>
  <si>
    <t xml:space="preserve">ФОТ и взносы — как принято в модели</t>
  </si>
  <si>
    <t xml:space="preserve">Допущение кейса</t>
  </si>
  <si>
    <t xml:space="preserve">Раздел 2: «carried at 102.3k»; из них названо владельцем 100 тыс., остальное — допущение кейса</t>
  </si>
  <si>
    <t xml:space="preserve">Электричество (среднемесячное)</t>
  </si>
  <si>
    <t xml:space="preserve">В месяцы отопления до 100 тыс.</t>
  </si>
  <si>
    <t xml:space="preserve">Вода</t>
  </si>
  <si>
    <t xml:space="preserve">График «куда уходят 100 сом» (раздел 2)</t>
  </si>
  <si>
    <t xml:space="preserve">ФОТ, названный владельцем (справочно)</t>
  </si>
  <si>
    <t xml:space="preserve">Для стресс-теста «взносы сверху»</t>
  </si>
  <si>
    <t xml:space="preserve">Ставка взносов в Соцфонд (справочно)</t>
  </si>
  <si>
    <t xml:space="preserve">Владелец не уточнил, входят ли взносы в ФОТ 100 тыс.</t>
  </si>
  <si>
    <t xml:space="preserve">Расходники (потребляемые материалы)</t>
  </si>
  <si>
    <t xml:space="preserve">Расходники — нижняя граница</t>
  </si>
  <si>
    <t xml:space="preserve">Диапазон 15–20 тыс. в месяц</t>
  </si>
  <si>
    <t xml:space="preserve">Расходники — верхняя граница</t>
  </si>
  <si>
    <t xml:space="preserve">Расходники — принято в модели</t>
  </si>
  <si>
    <t xml:space="preserve">Середина диапазона (допущение кейса)</t>
  </si>
  <si>
    <t xml:space="preserve">Каналы продаж и комиссия</t>
  </si>
  <si>
    <t xml:space="preserve">Доля ночей через Booking.com</t>
  </si>
  <si>
    <t xml:space="preserve">≈20% ночей</t>
  </si>
  <si>
    <t xml:space="preserve">Доля ночей из соцсетей</t>
  </si>
  <si>
    <t xml:space="preserve">≈3% ночей, без комиссии</t>
  </si>
  <si>
    <t xml:space="preserve">Доля неконтрактных ночей</t>
  </si>
  <si>
    <t xml:space="preserve">Booking.com + соцсети = 23%</t>
  </si>
  <si>
    <t xml:space="preserve">Доля контрактных ночей</t>
  </si>
  <si>
    <t xml:space="preserve">Реально 77–80%; в модели 77%</t>
  </si>
  <si>
    <t xml:space="preserve">Комиссия Booking.com</t>
  </si>
  <si>
    <t xml:space="preserve">23% реализованной цены</t>
  </si>
  <si>
    <t xml:space="preserve">Комиссия в % от выручки</t>
  </si>
  <si>
    <t xml:space="preserve">Доля Booking × комиссия = 4,6% (цена Booking принята равной средней)</t>
  </si>
  <si>
    <t xml:space="preserve">Единый налог</t>
  </si>
  <si>
    <t xml:space="preserve">Доля поступлений наличными</t>
  </si>
  <si>
    <t xml:space="preserve">Ставка с наличных</t>
  </si>
  <si>
    <t xml:space="preserve">Ставка с безналичных</t>
  </si>
  <si>
    <t xml:space="preserve">Единый налог — в среднем от выручки</t>
  </si>
  <si>
    <t xml:space="preserve">Смешанная ставка 4,3%</t>
  </si>
  <si>
    <t xml:space="preserve">Переменные потери с выручки: комиссия + налог</t>
  </si>
  <si>
    <t xml:space="preserve">8,9% — «1 − 8,9%» в формулах раздела 3</t>
  </si>
  <si>
    <t xml:space="preserve">Справочно</t>
  </si>
  <si>
    <t xml:space="preserve">Резерв FF&amp;E (мебель, оборудование)</t>
  </si>
  <si>
    <t xml:space="preserve">Раздел 2: после резерва владельцу остаётся 152,5 тыс. Используется только для справки</t>
  </si>
  <si>
    <t xml:space="preserve">База: загрузка, ADR и выручка + месячный P&amp;L владельца</t>
  </si>
  <si>
    <t xml:space="preserve">Все цифры — формулы от листа «Вводные» · тыс. сом в месяц, если не указано иное</t>
  </si>
  <si>
    <t xml:space="preserve">A. Мощность и сверка трёх заявленных цифр (раздел 4)</t>
  </si>
  <si>
    <t xml:space="preserve">Показатель</t>
  </si>
  <si>
    <t xml:space="preserve">Как считается</t>
  </si>
  <si>
    <t xml:space="preserve">Номеро-ночей в месяц (доступно)</t>
  </si>
  <si>
    <t xml:space="preserve">ночей</t>
  </si>
  <si>
    <t xml:space="preserve">номера × дней в году ÷ 12</t>
  </si>
  <si>
    <t xml:space="preserve">Проданных ночей в месяц</t>
  </si>
  <si>
    <t xml:space="preserve">доступные ночи × загрузка</t>
  </si>
  <si>
    <t xml:space="preserve">Расчётная выручка: загрузка × ADR × номеро-ночи</t>
  </si>
  <si>
    <t xml:space="preserve">858,9 в кейсе</t>
  </si>
  <si>
    <t xml:space="preserve">Заявленная выручка</t>
  </si>
  <si>
    <t xml:space="preserve">якорь модели</t>
  </si>
  <si>
    <t xml:space="preserve">Разрыв</t>
  </si>
  <si>
    <t xml:space="preserve">Коэффициент приведения k = заявленная ÷ расчётная</t>
  </si>
  <si>
    <t xml:space="preserve">коэф.</t>
  </si>
  <si>
    <t xml:space="preserve">лишь масштабирует загрузка × ADR к заявленной выручке</t>
  </si>
  <si>
    <t xml:space="preserve">Разрыв в год</t>
  </si>
  <si>
    <t xml:space="preserve">млн сом</t>
  </si>
  <si>
    <t xml:space="preserve">ADR, следующий из выручки и загрузки</t>
  </si>
  <si>
    <t xml:space="preserve">используется для комиссии с ночи Booking (рычаг 3)</t>
  </si>
  <si>
    <t xml:space="preserve">Загрузка, следующая из выручки и ADR</t>
  </si>
  <si>
    <t xml:space="preserve">B. Месячный P&amp;L владельца (после аренды, всех затрат и единого налога)</t>
  </si>
  <si>
    <t xml:space="preserve">Статья</t>
  </si>
  <si>
    <t xml:space="preserve">Выручка</t>
  </si>
  <si>
    <t xml:space="preserve">ФОТ и взносы</t>
  </si>
  <si>
    <t xml:space="preserve">Электричество</t>
  </si>
  <si>
    <t xml:space="preserve">Постоянные затраты, итого</t>
  </si>
  <si>
    <t xml:space="preserve">аренда + ФОТ + электричество + вода = 518,8</t>
  </si>
  <si>
    <t xml:space="preserve">Расходники</t>
  </si>
  <si>
    <t xml:space="preserve">растут с загрузкой</t>
  </si>
  <si>
    <t xml:space="preserve">выручка × 4,6% = 36,8</t>
  </si>
  <si>
    <t xml:space="preserve">Затраты, итого</t>
  </si>
  <si>
    <t xml:space="preserve">573,1 в кейсе</t>
  </si>
  <si>
    <t xml:space="preserve">выручка × 4,3% = 34,4</t>
  </si>
  <si>
    <t xml:space="preserve">Прибыль владельца после налога</t>
  </si>
  <si>
    <t xml:space="preserve">192,5 в кейсе</t>
  </si>
  <si>
    <t xml:space="preserve">Маржа после единого налога</t>
  </si>
  <si>
    <t xml:space="preserve">24,1% в кейсе (заявлено владельцем 25%)</t>
  </si>
  <si>
    <t xml:space="preserve">Маржа до единого налога</t>
  </si>
  <si>
    <t xml:space="preserve">в тексте кейса «≈29%», по цифрам кейса выходит 28,4%</t>
  </si>
  <si>
    <t xml:space="preserve">Резерв FF&amp;E</t>
  </si>
  <si>
    <t xml:space="preserve">справочно</t>
  </si>
  <si>
    <t xml:space="preserve">Прибыль после резерва FF&amp;E</t>
  </si>
  <si>
    <t xml:space="preserve">152,5 в кейсе</t>
  </si>
  <si>
    <t xml:space="preserve">Постоянные затраты в % выручки</t>
  </si>
  <si>
    <t xml:space="preserve">«65% выручки» в кейсе</t>
  </si>
  <si>
    <t xml:space="preserve">Аренда в % выручки</t>
  </si>
  <si>
    <t xml:space="preserve">43,8% в кейсе</t>
  </si>
  <si>
    <t xml:space="preserve">Аренда ÷ прибыль владельца</t>
  </si>
  <si>
    <t xml:space="preserve">раз</t>
  </si>
  <si>
    <t xml:space="preserve">1,8× в кейсе</t>
  </si>
  <si>
    <t xml:space="preserve">Юнит-экономика: на проданную ночь и на номер</t>
  </si>
  <si>
    <t xml:space="preserve">Раздел 2 кейса · на ночь — сом, на номер — тыс. сом в месяц · все ячейки — формулы</t>
  </si>
  <si>
    <t xml:space="preserve">1. На проданную ночь, по заявленному ADR</t>
  </si>
  <si>
    <t xml:space="preserve">Цена (ADR)</t>
  </si>
  <si>
    <t xml:space="preserve">прейскурантный ADR</t>
  </si>
  <si>
    <t xml:space="preserve">расходники в месяц ÷ проданные ночи</t>
  </si>
  <si>
    <t xml:space="preserve">Комиссия Booking.com, в среднем</t>
  </si>
  <si>
    <t xml:space="preserve">ADR × 4,6% (23% × 20% ночей)</t>
  </si>
  <si>
    <t xml:space="preserve">Вклад до единого налога</t>
  </si>
  <si>
    <t xml:space="preserve">цена − расходники − комиссия</t>
  </si>
  <si>
    <t xml:space="preserve">ADR × 4,3%</t>
  </si>
  <si>
    <t xml:space="preserve">Вклад после единого налога</t>
  </si>
  <si>
    <t xml:space="preserve">Постоянные затраты на проданную ночь</t>
  </si>
  <si>
    <t xml:space="preserve">постоянные затраты ÷ проданные ночи</t>
  </si>
  <si>
    <t xml:space="preserve">Прибыль за ночь по заявленному ADR</t>
  </si>
  <si>
    <t xml:space="preserve">Сверка с фактической выручкой (×k)</t>
  </si>
  <si>
    <t xml:space="preserve">владелец реально получает меньше: выручка = 800 тыс., а не загрузка × ADR</t>
  </si>
  <si>
    <t xml:space="preserve">Прибыль владельца за проданную ночь</t>
  </si>
  <si>
    <t xml:space="preserve">прибыль владельца в месяц ÷ проданные ночи</t>
  </si>
  <si>
    <t xml:space="preserve">Контроль: −ADR × (1 − k) × (1 − комиссия − налог)</t>
  </si>
  <si>
    <t xml:space="preserve">должно совпасть со строкой «Сверка с фактической выручкой»</t>
  </si>
  <si>
    <t xml:space="preserve">2. На номер в месяц</t>
  </si>
  <si>
    <t xml:space="preserve">÷ число номеров</t>
  </si>
  <si>
    <t xml:space="preserve">Затраты</t>
  </si>
  <si>
    <t xml:space="preserve">Прибыль владельца на номер</t>
  </si>
  <si>
    <t xml:space="preserve">3. Куда уходят каждые 100 сом выручки</t>
  </si>
  <si>
    <t xml:space="preserve">На 100 сом</t>
  </si>
  <si>
    <t xml:space="preserve">Комментарий</t>
  </si>
  <si>
    <t xml:space="preserve">самая большая статья</t>
  </si>
  <si>
    <t xml:space="preserve">зимой до 100 тыс.</t>
  </si>
  <si>
    <t xml:space="preserve">Прибыль владельца</t>
  </si>
  <si>
    <t xml:space="preserve">24 сома из каждых 100 доходят до владельца</t>
  </si>
  <si>
    <t xml:space="preserve">Стресс-тесты: шоки по отдельности</t>
  </si>
  <si>
    <t xml:space="preserve">Раздел 5 кейса · прибыль владельца после единого налога, тыс. сом в месяц · каждая строка — набор относительных изменений к базе</t>
  </si>
  <si>
    <t xml:space="preserve">1. Размер шоков (меняйте значения — таблица пересчитается)</t>
  </si>
  <si>
    <t xml:space="preserve">Падение выручки — шок 1</t>
  </si>
  <si>
    <t xml:space="preserve">Потеря операторов: расходники и налог снижаются вместе с выручкой, комиссия Booking.com остаётся (комиссии нет в контрактной выручке).</t>
  </si>
  <si>
    <t xml:space="preserve">Падение выручки — шок 2</t>
  </si>
  <si>
    <t xml:space="preserve">Выручка −10% / −15%: расходники, комиссия и налог снижаются пропорционально выручке.</t>
  </si>
  <si>
    <t xml:space="preserve">Доля двух мобильных операторов в выручке</t>
  </si>
  <si>
    <t xml:space="preserve">Строки 8–10 таблицы — расширения: два шока из текста кейса и один комбинированный (мой, в кейсе его нет).</t>
  </si>
  <si>
    <t xml:space="preserve">Рост аренды</t>
  </si>
  <si>
    <t xml:space="preserve">Рост электричества</t>
  </si>
  <si>
    <t xml:space="preserve">Зарплата управляющего (труд владельца не оплачивается)</t>
  </si>
  <si>
    <t xml:space="preserve">тыс./мес</t>
  </si>
  <si>
    <t xml:space="preserve">Электричество в месяц отопления</t>
  </si>
  <si>
    <t xml:space="preserve">2. Таблица шоков</t>
  </si>
  <si>
    <t xml:space="preserve">← входные изменения (синие — ввод; чёрные — формулы)</t>
  </si>
  <si>
    <t xml:space="preserve">← результат, тыс. сом/мес</t>
  </si>
  <si>
    <t xml:space="preserve">Шок</t>
  </si>
  <si>
    <t xml:space="preserve">Δ выручки</t>
  </si>
  <si>
    <t xml:space="preserve">Δ расходников</t>
  </si>
  <si>
    <t xml:space="preserve">Δ комиссии</t>
  </si>
  <si>
    <t xml:space="preserve">Δ аренды</t>
  </si>
  <si>
    <t xml:space="preserve">Δ электричества</t>
  </si>
  <si>
    <t xml:space="preserve">Прочие пост., тыс.</t>
  </si>
  <si>
    <t xml:space="preserve">Постоянные</t>
  </si>
  <si>
    <t xml:space="preserve">Комиссия</t>
  </si>
  <si>
    <t xml:space="preserve">Налог</t>
  </si>
  <si>
    <t xml:space="preserve">Δ, тыс.</t>
  </si>
  <si>
    <t xml:space="preserve">Δ, %</t>
  </si>
  <si>
    <t xml:space="preserve">Маржа</t>
  </si>
  <si>
    <t xml:space="preserve">Рычаг, ×</t>
  </si>
  <si>
    <t xml:space="preserve">Источник</t>
  </si>
  <si>
    <t xml:space="preserve">кейс</t>
  </si>
  <si>
    <t xml:space="preserve">расширение: текст раздела 5</t>
  </si>
  <si>
    <t xml:space="preserve">расширение: текст раздела 2</t>
  </si>
  <si>
    <t xml:space="preserve">расширение: моё, в кейсе нет</t>
  </si>
  <si>
    <t xml:space="preserve">Рычаг, × = изменение прибыли в % ÷ изменение выручки в %: постоянные затраты 518,8 тыс. делают удар по прибыли в 3,7–3,9 раза сильнее, чем по выручке.</t>
  </si>
  <si>
    <t xml:space="preserve">Обратный стресс-тест: выручка может упасть на</t>
  </si>
  <si>
    <t xml:space="preserve">прежде чем прибыль владельца станет нулевой (то же, что запас прочности по загрузке на листе «Карта»)</t>
  </si>
  <si>
    <t xml:space="preserve">Мост прибыли: рычаги, сценарии, окупаемость</t>
  </si>
  <si>
    <t xml:space="preserve">Раздел 6 кейса · эффекты — тыс. сом в месяц в «беговом» темпе; разовые затраты — оценки без котировок</t>
  </si>
  <si>
    <t xml:space="preserve">1. Параметры сценариев (допущения кейса)</t>
  </si>
  <si>
    <t xml:space="preserve">Допущение</t>
  </si>
  <si>
    <t xml:space="preserve">Консервативный</t>
  </si>
  <si>
    <t xml:space="preserve">Базовый</t>
  </si>
  <si>
    <t xml:space="preserve">Апсайд</t>
  </si>
  <si>
    <t xml:space="preserve">Рост цены на неконтрактных ночах</t>
  </si>
  <si>
    <t xml:space="preserve">Потеря объёма на неконтрактных ночах</t>
  </si>
  <si>
    <t xml:space="preserve">Ночей ушло с Booking.com и заполнено по той же цене</t>
  </si>
  <si>
    <t xml:space="preserve">п.п.</t>
  </si>
  <si>
    <t xml:space="preserve">Экономия электричества</t>
  </si>
  <si>
    <t xml:space="preserve">Пересмотр цен в контрактах при пролонгации (1 — да, 0 — нет)</t>
  </si>
  <si>
    <t xml:space="preserve">флаг</t>
  </si>
  <si>
    <t xml:space="preserve">2. Общие параметры рычагов</t>
  </si>
  <si>
    <t xml:space="preserve">Пересмотр цены при пролонгации контракта</t>
  </si>
  <si>
    <t xml:space="preserve">Доля контрактной выручки, где цена пересматривается</t>
  </si>
  <si>
    <t xml:space="preserve">Потеря контрактного объёма</t>
  </si>
  <si>
    <t xml:space="preserve">Разовые затраты: рычаг 2 — цены на неконтрактных ночах</t>
  </si>
  <si>
    <t xml:space="preserve">тыс. сом</t>
  </si>
  <si>
    <t xml:space="preserve">Разовые затраты: рычаг 5 — энергосбережение</t>
  </si>
  <si>
    <t xml:space="preserve">Разовые затраты: гигиена — персонал и SOP</t>
  </si>
  <si>
    <t xml:space="preserve">Разовые затраты: гигиена — линия прямых броней</t>
  </si>
  <si>
    <t xml:space="preserve">Ежемесячные затраты: персонал и SOP</t>
  </si>
  <si>
    <t xml:space="preserve">Ежемесячные затраты: линия прямых броней</t>
  </si>
  <si>
    <t xml:space="preserve">Рычаг 1: возможный пересмотр аренды — нижняя оценка</t>
  </si>
  <si>
    <t xml:space="preserve">Рычаг 1: возможный пересмотр аренды — верхняя оценка</t>
  </si>
  <si>
    <t xml:space="preserve">Горизонт оценки</t>
  </si>
  <si>
    <t xml:space="preserve">мес.</t>
  </si>
  <si>
    <t xml:space="preserve">Выручка неконтрактных ночей (Booking + соцсети)</t>
  </si>
  <si>
    <t xml:space="preserve">Выручка контрактных ночей</t>
  </si>
  <si>
    <t xml:space="preserve">Комиссия с одной ночи через Booking.com</t>
  </si>
  <si>
    <t xml:space="preserve">Разовые затраты, итого</t>
  </si>
  <si>
    <t xml:space="preserve">3. Эффекты рычагов, тыс. сом в месяц (операционная прибыль до единого налога)</t>
  </si>
  <si>
    <t xml:space="preserve">Рычаг / показатель</t>
  </si>
  <si>
    <t xml:space="preserve">Вспомогательно: изменение выручки на неконтрактных ночах</t>
  </si>
  <si>
    <t xml:space="preserve">(1 + цена) × (1 − потеря объёма) − 1</t>
  </si>
  <si>
    <t xml:space="preserve">Рычаг 2. Цены на неконтрактных ночах</t>
  </si>
  <si>
    <t xml:space="preserve">Δвыручки − Δкомиссии Booking.com + экономия расходников на потерянных ночах</t>
  </si>
  <si>
    <t xml:space="preserve">Рычаг 3. Микс каналов (меньше Booking.com)</t>
  </si>
  <si>
    <t xml:space="preserve">пункты × номеро-ночи × комиссия с ночи (≈804 сом); ночи заполняются по той же цене</t>
  </si>
  <si>
    <t xml:space="preserve">Рычаг 5. Энергия</t>
  </si>
  <si>
    <t xml:space="preserve">электричество × экономия</t>
  </si>
  <si>
    <t xml:space="preserve">Гигиена: персонал и SOP</t>
  </si>
  <si>
    <t xml:space="preserve">затраты учтены, выгода не считается</t>
  </si>
  <si>
    <t xml:space="preserve">Гигиена: линия прямых броней</t>
  </si>
  <si>
    <t xml:space="preserve">Рычаг 4. Пересмотр цен в контрактах (апсайд)</t>
  </si>
  <si>
    <t xml:space="preserve">+4% на 90% контрактной выручки − потеря 1% объёма + экономия расходников</t>
  </si>
  <si>
    <t xml:space="preserve">Δ операционной прибыли до налога</t>
  </si>
  <si>
    <t xml:space="preserve">Вспомогательно: Δ выручки (база для налога)</t>
  </si>
  <si>
    <t xml:space="preserve">налог платится только с изменения выручки; рычаги 3, 5 и гигиена выручку не меняют</t>
  </si>
  <si>
    <t xml:space="preserve">Налог с дополнительной выручки</t>
  </si>
  <si>
    <t xml:space="preserve">Δ прибыли владельца после налога</t>
  </si>
  <si>
    <t xml:space="preserve">Прибыль владельца после программы</t>
  </si>
  <si>
    <t xml:space="preserve">Рост к текущей прибыли</t>
  </si>
  <si>
    <t xml:space="preserve">Разовые затраты</t>
  </si>
  <si>
    <t xml:space="preserve">20 + 120 + 10 + 30</t>
  </si>
  <si>
    <t xml:space="preserve">Окупаемость разовых затрат</t>
  </si>
  <si>
    <t xml:space="preserve">разовые затраты ÷ Δ прибыли после налога; «не достигается», если не окупаются за горизонт</t>
  </si>
  <si>
    <t xml:space="preserve">Чистый эффект за горизонт</t>
  </si>
  <si>
    <t xml:space="preserve">Δ после налога × горизонт − разовые затраты</t>
  </si>
  <si>
    <t xml:space="preserve">4. Рычаг 1 (вне моста) и точка остановки рычага 4</t>
  </si>
  <si>
    <t xml:space="preserve">Нижняя оценка</t>
  </si>
  <si>
    <t xml:space="preserve">Верхняя оценка</t>
  </si>
  <si>
    <t xml:space="preserve">Защита аренды: пересмотр, которого удаётся избежать</t>
  </si>
  <si>
    <t xml:space="preserve">То же за горизонт оценки</t>
  </si>
  <si>
    <t xml:space="preserve">Потеря контрактного объёма, при которой рычаг 4 перестаёт приносить прибыль</t>
  </si>
  <si>
    <t xml:space="preserve">← порог остановки (3,7%)</t>
  </si>
  <si>
    <t xml:space="preserve">5. Мост прибыли владельца после налога, тыс. сом/мес (база и апсайд раздельно)</t>
  </si>
  <si>
    <t xml:space="preserve">Шаг</t>
  </si>
  <si>
    <t xml:space="preserve">Тип</t>
  </si>
  <si>
    <t xml:space="preserve">Уровень</t>
  </si>
  <si>
    <t xml:space="preserve">Невидимая основа</t>
  </si>
  <si>
    <t xml:space="preserve">Рост</t>
  </si>
  <si>
    <t xml:space="preserve">Падение</t>
  </si>
  <si>
    <t xml:space="preserve">Итог</t>
  </si>
  <si>
    <t xml:space="preserve">Сегодня</t>
  </si>
  <si>
    <t xml:space="preserve">итог</t>
  </si>
  <si>
    <t xml:space="preserve">Цены на неконтрактные ночи</t>
  </si>
  <si>
    <t xml:space="preserve">шаг</t>
  </si>
  <si>
    <t xml:space="preserve">Микс каналов</t>
  </si>
  <si>
    <t xml:space="preserve">Энергия</t>
  </si>
  <si>
    <t xml:space="preserve">Персонал и SOP</t>
  </si>
  <si>
    <t xml:space="preserve">Линия прямых броней</t>
  </si>
  <si>
    <t xml:space="preserve">Налог с доп. выручки</t>
  </si>
  <si>
    <t xml:space="preserve">База</t>
  </si>
  <si>
    <t xml:space="preserve">Пересмотр цен в контрактах</t>
  </si>
  <si>
    <t xml:space="preserve">Налог с доп. выручки </t>
  </si>
  <si>
    <t xml:space="preserve">Контроль: цепочка шагов приходит ровно в итог «База» и «Апсайд»</t>
  </si>
  <si>
    <t xml:space="preserve">Ось диаграммы начинается со 170, как на графике кейса; если прибыль станет ниже 170, измените минимум оси.</t>
  </si>
  <si>
    <t xml:space="preserve">Безубыточность и карта «цена × загрузка»</t>
  </si>
  <si>
    <t xml:space="preserve">Разделы 3–4 кейса · прибыль владельца после единого налога, тыс. сом в месяц</t>
  </si>
  <si>
    <t xml:space="preserve">1. Ценность рычагов и безубыточность</t>
  </si>
  <si>
    <t xml:space="preserve">+1% цены</t>
  </si>
  <si>
    <t xml:space="preserve">выручка × 1% × (1 − комиссия − налог)</t>
  </si>
  <si>
    <t xml:space="preserve">+1 пункт загрузки</t>
  </si>
  <si>
    <t xml:space="preserve">выручка ÷ загрузка в п.п. × (1 − 8,9%) − расходники ÷ загрузка в п.п.</t>
  </si>
  <si>
    <t xml:space="preserve">Выручка при загрузке 100%, по заявленной выручке</t>
  </si>
  <si>
    <t xml:space="preserve">заявленная выручка ÷ текущая загрузка</t>
  </si>
  <si>
    <t xml:space="preserve">Выручка при загрузке 100%, по прейскурантному ADR</t>
  </si>
  <si>
    <t xml:space="preserve">ADR × номеро-ночи (k = 1)</t>
  </si>
  <si>
    <t xml:space="preserve">Расходники при загрузке 100%</t>
  </si>
  <si>
    <t xml:space="preserve">расходники ÷ текущая загрузка</t>
  </si>
  <si>
    <t xml:space="preserve">Безубыточная загрузка после налога (по заявленной выручке)</t>
  </si>
  <si>
    <t xml:space="preserve">постоянные ÷ (выручка при 100% × (1 − 8,9%) − расходники при 100%)</t>
  </si>
  <si>
    <t xml:space="preserve">Безубыточная загрузка после налога (по прейскурантному ADR)</t>
  </si>
  <si>
    <t xml:space="preserve">то же с выручкой по ADR 3 755</t>
  </si>
  <si>
    <t xml:space="preserve">Безубыточная загрузка до налога (по прейскурантному ADR)</t>
  </si>
  <si>
    <t xml:space="preserve">то же без единого налога</t>
  </si>
  <si>
    <t xml:space="preserve">Запас прочности до текущей загрузки (по заявленной выручке)</t>
  </si>
  <si>
    <t xml:space="preserve">текущая загрузка − безубыточная</t>
  </si>
  <si>
    <t xml:space="preserve">Запас прочности (по прейскурантному ADR, после налога)</t>
  </si>
  <si>
    <t xml:space="preserve">Запас по выручке: падение, при котором прибыль = 0</t>
  </si>
  <si>
    <t xml:space="preserve">постоянные ÷ (выручка × (1 − 8,9%) − расходники) − 1; совпадает с запасом по загрузке</t>
  </si>
  <si>
    <t xml:space="preserve">2. Карта: прибыль владельца после налога, тыс. сом/мес</t>
  </si>
  <si>
    <t xml:space="preserve">Выручка = загрузка × ADR × (1 + изменение цены) × номеро-ночи × k. Расходники растут с загрузкой; комиссия 4,6% и налог 4,3% — с выручкой; постоянные затраты не меняются.</t>
  </si>
  <si>
    <t xml:space="preserve">Текущая загрузка (для подсветки)</t>
  </si>
  <si>
    <t xml:space="preserve">Изменение ADR к текущему →</t>
  </si>
  <si>
    <t xml:space="preserve">Итоговый ADR, сом →</t>
  </si>
  <si>
    <t xml:space="preserve">Загрузка ↓</t>
  </si>
  <si>
    <t xml:space="preserve">Выделена жирным и рамкой ячейка «сегодня» (текущая загрузка, изменение цены 0%). Строки и столбцы осей можно менять.</t>
  </si>
  <si>
    <t xml:space="preserve">Сверка модели с цифрами, напечатанными в кейсе</t>
  </si>
  <si>
    <t xml:space="preserve">Допуск = точность округления в кейсе · «Кейс» — значения из документа (синие), «Модель» — формулы из листов выше</t>
  </si>
  <si>
    <t xml:space="preserve">Расхождений:</t>
  </si>
  <si>
    <t xml:space="preserve">Раздел</t>
  </si>
  <si>
    <t xml:space="preserve">Кейс</t>
  </si>
  <si>
    <t xml:space="preserve">Модель</t>
  </si>
  <si>
    <t xml:space="preserve">Разница</t>
  </si>
  <si>
    <t xml:space="preserve">Допуск</t>
  </si>
  <si>
    <t xml:space="preserve">Статус</t>
  </si>
  <si>
    <t xml:space="preserve">Затраты, тыс.</t>
  </si>
  <si>
    <t xml:space="preserve">2</t>
  </si>
  <si>
    <t xml:space="preserve">Единый налог, тыс.</t>
  </si>
  <si>
    <t xml:space="preserve">Прибыль владельца, тыс.</t>
  </si>
  <si>
    <t xml:space="preserve">Маржа после налога</t>
  </si>
  <si>
    <t xml:space="preserve">Прибыль после резерва FF&amp;E 5%, тыс.</t>
  </si>
  <si>
    <t xml:space="preserve">Расчётная выручка, тыс.</t>
  </si>
  <si>
    <t xml:space="preserve">4</t>
  </si>
  <si>
    <t xml:space="preserve">Коэффициент приведения</t>
  </si>
  <si>
    <t xml:space="preserve">ADR из выручки и загрузки, сом</t>
  </si>
  <si>
    <t xml:space="preserve">Загрузка из выручки и ADR</t>
  </si>
  <si>
    <t xml:space="preserve">3</t>
  </si>
  <si>
    <t xml:space="preserve">Безубыточная загрузка по прейскурантному ADR, после налога</t>
  </si>
  <si>
    <t xml:space="preserve">Безубыточная загрузка по прейскурантному ADR, до налога</t>
  </si>
  <si>
    <t xml:space="preserve">Запас прочности, п.п. (заявленная выручка)</t>
  </si>
  <si>
    <t xml:space="preserve">Запас прочности, п.п. (прейскурантный ADR)</t>
  </si>
  <si>
    <t xml:space="preserve">+1% цены, тыс./мес</t>
  </si>
  <si>
    <t xml:space="preserve">+1 п.п. загрузки, тыс./мес</t>
  </si>
  <si>
    <t xml:space="preserve">Расходники на ночь, сом</t>
  </si>
  <si>
    <t xml:space="preserve">Комиссия на ночь, сом</t>
  </si>
  <si>
    <t xml:space="preserve">Вклад до налога на ночь, сом</t>
  </si>
  <si>
    <t xml:space="preserve">Налог на ночь, сом</t>
  </si>
  <si>
    <t xml:space="preserve">Вклад после налога на ночь, сом</t>
  </si>
  <si>
    <t xml:space="preserve">Постоянные затраты на ночь, сом</t>
  </si>
  <si>
    <t xml:space="preserve">Прибыль за ночь по заявленному ADR, сом</t>
  </si>
  <si>
    <t xml:space="preserve">Сверка с выручкой на ночь, сом</t>
  </si>
  <si>
    <t xml:space="preserve">Прибыль владельца за ночь, сом</t>
  </si>
  <si>
    <t xml:space="preserve">Выручка на номер, тыс.</t>
  </si>
  <si>
    <t xml:space="preserve">Затраты на номер, тыс.</t>
  </si>
  <si>
    <t xml:space="preserve">Налог на номер, тыс.</t>
  </si>
  <si>
    <t xml:space="preserve">Прибыль на номер, тыс.</t>
  </si>
  <si>
    <t xml:space="preserve">Стресс «Выручка −10%»: прибыль, тыс.</t>
  </si>
  <si>
    <t xml:space="preserve">5</t>
  </si>
  <si>
    <t xml:space="preserve">Стресс «Выручка −10%»: Δ, тыс.</t>
  </si>
  <si>
    <t xml:space="preserve">Стресс «Выручка −10%»: маржа</t>
  </si>
  <si>
    <t xml:space="preserve">Стресс «Выручка −15%»: прибыль, тыс.</t>
  </si>
  <si>
    <t xml:space="preserve">Стресс «Выручка −15%»: Δ, тыс.</t>
  </si>
  <si>
    <t xml:space="preserve">Стресс «Выручка −15%»: маржа</t>
  </si>
  <si>
    <t xml:space="preserve">Стресс «Потеря двух мобильных операторов»: прибыль, тыс.</t>
  </si>
  <si>
    <t xml:space="preserve">Стресс «Потеря двух мобильных операторов»: Δ, тыс.</t>
  </si>
  <si>
    <t xml:space="preserve">Стресс «Потеря двух мобильных операторов»: маржа</t>
  </si>
  <si>
    <t xml:space="preserve">Стресс «Аренда +10%»: прибыль, тыс.</t>
  </si>
  <si>
    <t xml:space="preserve">Стресс «Аренда +10%»: Δ, тыс.</t>
  </si>
  <si>
    <t xml:space="preserve">Стресс «Аренда +10%»: маржа</t>
  </si>
  <si>
    <t xml:space="preserve">Стресс «Электричество +20%»: прибыль, тыс.</t>
  </si>
  <si>
    <t xml:space="preserve">Стресс «Электричество +20%»: Δ, тыс.</t>
  </si>
  <si>
    <t xml:space="preserve">Стресс «Электричество +20%»: маржа</t>
  </si>
  <si>
    <t xml:space="preserve">Стресс «Управляющий за 60 тыс.»: прибыль, тыс.</t>
  </si>
  <si>
    <t xml:space="preserve">Стресс «Управляющий за 60 тыс.»: Δ, тыс.</t>
  </si>
  <si>
    <t xml:space="preserve">Стресс «Управляющий за 60 тыс.»: маржа</t>
  </si>
  <si>
    <t xml:space="preserve">Рычаг 2. Цены, тыс./мес</t>
  </si>
  <si>
    <t xml:space="preserve">6</t>
  </si>
  <si>
    <t xml:space="preserve">Рычаг 3. Каналы, тыс./мес</t>
  </si>
  <si>
    <t xml:space="preserve">Рычаг 5. Энергия, тыс./мес</t>
  </si>
  <si>
    <t xml:space="preserve">Гигиена, тыс./мес</t>
  </si>
  <si>
    <t xml:space="preserve">Рычаг 4. Пересмотр контрактов, тыс./мес</t>
  </si>
  <si>
    <t xml:space="preserve">База: Δ операционной прибыли, тыс.</t>
  </si>
  <si>
    <t xml:space="preserve">Апсайд: Δ операционной прибыли, тыс.</t>
  </si>
  <si>
    <t xml:space="preserve">База: Δ прибыли после налога, тыс.</t>
  </si>
  <si>
    <t xml:space="preserve">Апсайд: Δ прибыли после налога, тыс.</t>
  </si>
  <si>
    <t xml:space="preserve">Прибыль владельца в базе, тыс.</t>
  </si>
  <si>
    <t xml:space="preserve">Прибыль владельца в апсайде, тыс.</t>
  </si>
  <si>
    <t xml:space="preserve">Консервативный: Δ до налога, тыс. (≈0)</t>
  </si>
  <si>
    <t xml:space="preserve">Окупаемость базы, мес.</t>
  </si>
  <si>
    <t xml:space="preserve">Окупаемость апсайда, мес.</t>
  </si>
  <si>
    <t xml:space="preserve">Чистый эффект базы за 36 мес., млн</t>
  </si>
  <si>
    <t xml:space="preserve">Чистый эффект апсайда за 36 мес., млн</t>
  </si>
  <si>
    <t xml:space="preserve">Потеря контрактного объёма, при которой рычаг 4 = 0</t>
  </si>
  <si>
    <t xml:space="preserve">Защита аренды: низ, тыс./мес</t>
  </si>
  <si>
    <t xml:space="preserve">1</t>
  </si>
  <si>
    <t xml:space="preserve">Защита аренды: верх, тыс./мес</t>
  </si>
  <si>
    <t xml:space="preserve">Защита аренды за 3 года: низ, млн</t>
  </si>
  <si>
    <t xml:space="preserve">Защита аренды за 3 года: верх, млн</t>
  </si>
  <si>
    <t xml:space="preserve">Замечания к самому кейсу</t>
  </si>
  <si>
    <t xml:space="preserve">• Маржа до единого налога: в тексте кейса «≈29%», по его же цифрам (800 − 573,1) ÷ 800 = 28,4%. В проверки не включена.</t>
  </si>
  <si>
    <t xml:space="preserve">• Рычаг 4: точное значение 16,15 → в кейсе показано 16,2; сумма «база + апсайд» 30,66 в кейсе округлена до 30,6 (допуск 0,1).</t>
  </si>
  <si>
    <t xml:space="preserve">• Цифры «на ночь» в кейсе получены из уже округлённых слагаемых, поэтому отличаются от точного расчёта на ±1 сом (допуск 1).</t>
  </si>
  <si>
    <t xml:space="preserve">• Безубыточность ≈69% в кейсе — округление от 68,6%; допуск 0,5 п.п.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</si>
</sst>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"/>
    <numFmt numFmtId="166" formatCode="0.0%;\(0.0%\);\-"/>
    <numFmt numFmtId="167" formatCode="#,##0;\(#,##0\);\-"/>
    <numFmt numFmtId="168" formatCode="#,##0.0;\(#,##0.0\);\-"/>
    <numFmt numFmtId="169" formatCode="0.00%"/>
    <numFmt numFmtId="170" formatCode="#,##0.0"/>
    <numFmt numFmtId="171" formatCode="0.000"/>
    <numFmt numFmtId="172" formatCode="0.00"/>
    <numFmt numFmtId="173" formatCode="0.0\×"/>
    <numFmt numFmtId="174" formatCode="0%;\(0%\);\-"/>
    <numFmt numFmtId="175" formatCode="\+0.0%;\-0.0%;\-"/>
    <numFmt numFmtId="176" formatCode="0.0"/>
    <numFmt numFmtId="177" formatCode="0.0;\-0.0;;"/>
    <numFmt numFmtId="178" formatCode="\+0.0%;\-0.0%;0.0%"/>
    <numFmt numFmtId="179" formatCode="0.000;\-0.000;\-"/>
    <numFmt numFmtId="180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B2F38"/>
      <name val="Arial"/>
      <family val="0"/>
      <charset val="1"/>
    </font>
    <font>
      <sz val="10"/>
      <color rgb="FF5B627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B627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FFFFFF"/>
      <name val="Calibri"/>
      <family val="2"/>
    </font>
    <font>
      <b val="true"/>
      <sz val="9"/>
      <color rgb="FF2B2F3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2B2F38"/>
        <bgColor rgb="FF333300"/>
      </patternFill>
    </fill>
    <fill>
      <patternFill patternType="solid">
        <fgColor rgb="FFE8ECEF"/>
        <bgColor rgb="FFDDEFEC"/>
      </patternFill>
    </fill>
    <fill>
      <patternFill patternType="solid">
        <fgColor rgb="FFDDEFEC"/>
        <bgColor rgb="FFE8ECE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F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0000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rial"/>
        <charset val="1"/>
        <family val="0"/>
        <b val="1"/>
        <color rgb="FFFFFFFF"/>
      </font>
      <fill>
        <patternFill>
          <bgColor rgb="FFC65D47"/>
        </patternFill>
      </fill>
    </dxf>
    <dxf>
      <font>
        <name val="Arial"/>
        <charset val="1"/>
        <family val="0"/>
        <b val="1"/>
        <color rgb="FF0F7A7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A70"/>
      <rgbColor rgb="FFD9D9D9"/>
      <rgbColor rgb="FF878787"/>
      <rgbColor rgb="FF9999FF"/>
      <rgbColor rgb="FF993366"/>
      <rgbColor rgb="FFFFF2CC"/>
      <rgbColor rgb="FFDDEFEC"/>
      <rgbColor rgb="FF660066"/>
      <rgbColor rgb="FFFF8080"/>
      <rgbColor rgb="FF0066CC"/>
      <rgbColor rgb="FFC9CF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EF"/>
      <rgbColor rgb="FFF9F9F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D47"/>
      <rgbColor rgb="FF5B6270"/>
      <rgbColor rgb="FF8A93A0"/>
      <rgbColor rgb="FF003366"/>
      <rgbColor rgb="FF339966"/>
      <rgbColor rgb="FF003300"/>
      <rgbColor rgb="FF333300"/>
      <rgbColor rgb="FF993300"/>
      <rgbColor rgb="FF993366"/>
      <rgbColor rgb="FF333399"/>
      <rgbColor rgb="FF2B2F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Прибыль владельца после шока, тыс. сом/мес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Стресс_тесты!N15</c:f>
              <c:strCache>
                <c:ptCount val="1"/>
                <c:pt idx="0">
                  <c:v>Прибыль владельца</c:v>
                </c:pt>
              </c:strCache>
            </c:strRef>
          </c:tx>
          <c:spPr>
            <a:solidFill>
              <a:srgbClr val="0f7a7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Стресс_тесты!$B$16:$B$25</c:f>
              <c:strCache>
                <c:ptCount val="10"/>
                <c:pt idx="0">
                  <c:v>База</c:v>
                </c:pt>
                <c:pt idx="1">
                  <c:v>Выручка −10%</c:v>
                </c:pt>
                <c:pt idx="2">
                  <c:v>Выручка −15%</c:v>
                </c:pt>
                <c:pt idx="3">
                  <c:v>Потеря двух мобильных операторов (−8% выручки)</c:v>
                </c:pt>
                <c:pt idx="4">
                  <c:v>Аренда +10%</c:v>
                </c:pt>
                <c:pt idx="5">
                  <c:v>Электричество +20%</c:v>
                </c:pt>
                <c:pt idx="6">
                  <c:v>Управляющий за 60 тыс.</c:v>
                </c:pt>
                <c:pt idx="7">
                  <c:v>Электричество 100 тыс. (месяц отопления)</c:v>
                </c:pt>
                <c:pt idx="8">
                  <c:v>Взносы 12,25% начисляются сверху на ФОТ</c:v>
                </c:pt>
                <c:pt idx="9">
                  <c:v>Комбинированный: выручка −10% и аренда +10%</c:v>
                </c:pt>
              </c:strCache>
            </c:strRef>
          </c:cat>
          <c:val>
            <c:numRef>
              <c:f>Стресс_тесты!$N$16:$N$25</c:f>
              <c:numCache>
                <c:formatCode>#,##0.0;\(#,##0.0\);\-</c:formatCode>
                <c:ptCount val="10"/>
                <c:pt idx="0">
                  <c:v>192.5</c:v>
                </c:pt>
                <c:pt idx="1">
                  <c:v>121.37</c:v>
                </c:pt>
                <c:pt idx="2">
                  <c:v>85.805</c:v>
                </c:pt>
                <c:pt idx="3">
                  <c:v>132.652</c:v>
                </c:pt>
                <c:pt idx="4">
                  <c:v>157.5</c:v>
                </c:pt>
                <c:pt idx="5">
                  <c:v>180.5</c:v>
                </c:pt>
                <c:pt idx="6">
                  <c:v>132.5</c:v>
                </c:pt>
                <c:pt idx="7">
                  <c:v>152.5</c:v>
                </c:pt>
                <c:pt idx="8">
                  <c:v>182.55</c:v>
                </c:pt>
                <c:pt idx="9">
                  <c:v>86.37</c:v>
                </c:pt>
              </c:numCache>
            </c:numRef>
          </c:val>
        </c:ser>
        <c:gapWidth val="60"/>
        <c:overlap val="0"/>
        <c:axId val="63576376"/>
        <c:axId val="11391636"/>
      </c:barChart>
      <c:catAx>
        <c:axId val="6357637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91636"/>
        <c:crosses val="autoZero"/>
        <c:auto val="1"/>
        <c:lblAlgn val="ctr"/>
        <c:lblOffset val="100"/>
        <c:noMultiLvlLbl val="0"/>
      </c:catAx>
      <c:valAx>
        <c:axId val="11391636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7637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Мост прибыли владельца после налога, тыс. сом/мес (ось от 170)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"Основа"</c:f>
              <c:strCache>
                <c:ptCount val="1"/>
                <c:pt idx="0">
                  <c:v>Основа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Мост_прибыли!$B$58:$B$68</c:f>
              <c:strCache>
                <c:ptCount val="11"/>
                <c:pt idx="0">
                  <c:v>Сегодня</c:v>
                </c:pt>
                <c:pt idx="1">
                  <c:v>Цены на неконтрактные ночи</c:v>
                </c:pt>
                <c:pt idx="2">
                  <c:v>Микс каналов</c:v>
                </c:pt>
                <c:pt idx="3">
                  <c:v>Энергия</c:v>
                </c:pt>
                <c:pt idx="4">
                  <c:v>Персонал и SOP</c:v>
                </c:pt>
                <c:pt idx="5">
                  <c:v>Линия прямых броней</c:v>
                </c:pt>
                <c:pt idx="6">
                  <c:v>Налог с доп. выручки</c:v>
                </c:pt>
                <c:pt idx="7">
                  <c:v>База</c:v>
                </c:pt>
                <c:pt idx="8">
                  <c:v>Пересмотр цен в контрактах</c:v>
                </c:pt>
                <c:pt idx="9">
                  <c:v>Налог с доп. выручки </c:v>
                </c:pt>
                <c:pt idx="10">
                  <c:v>Апсайд</c:v>
                </c:pt>
              </c:strCache>
            </c:strRef>
          </c:cat>
          <c:val>
            <c:numRef>
              <c:f>Мост_прибыли!$H$58:$H$68</c:f>
              <c:numCache>
                <c:formatCode>#,##0.0;\(#,##0.0\);\-</c:formatCode>
                <c:ptCount val="11"/>
                <c:pt idx="0">
                  <c:v>0</c:v>
                </c:pt>
                <c:pt idx="1">
                  <c:v>192.5</c:v>
                </c:pt>
                <c:pt idx="2">
                  <c:v>201.17698</c:v>
                </c:pt>
                <c:pt idx="3">
                  <c:v>209.006767234043</c:v>
                </c:pt>
                <c:pt idx="4">
                  <c:v>212.006767234043</c:v>
                </c:pt>
                <c:pt idx="5">
                  <c:v>207.006767234043</c:v>
                </c:pt>
                <c:pt idx="6">
                  <c:v>206.544706434043</c:v>
                </c:pt>
                <c:pt idx="7">
                  <c:v>0</c:v>
                </c:pt>
                <c:pt idx="8">
                  <c:v>206.544706434043</c:v>
                </c:pt>
                <c:pt idx="9">
                  <c:v>222.006768434043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"Рост"</c:f>
              <c:strCache>
                <c:ptCount val="1"/>
                <c:pt idx="0">
                  <c:v>Рост</c:v>
                </c:pt>
              </c:strCache>
            </c:strRef>
          </c:tx>
          <c:spPr>
            <a:solidFill>
              <a:srgbClr val="0f7a70"/>
            </a:solidFill>
            <a:ln w="0">
              <a:noFill/>
            </a:ln>
          </c:spPr>
          <c:invertIfNegative val="0"/>
          <c:dLbls>
            <c:numFmt formatCode="0.0;\-0.0;;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Мост_прибыли!$B$58:$B$68</c:f>
              <c:strCache>
                <c:ptCount val="11"/>
                <c:pt idx="0">
                  <c:v>Сегодня</c:v>
                </c:pt>
                <c:pt idx="1">
                  <c:v>Цены на неконтрактные ночи</c:v>
                </c:pt>
                <c:pt idx="2">
                  <c:v>Микс каналов</c:v>
                </c:pt>
                <c:pt idx="3">
                  <c:v>Энергия</c:v>
                </c:pt>
                <c:pt idx="4">
                  <c:v>Персонал и SOP</c:v>
                </c:pt>
                <c:pt idx="5">
                  <c:v>Линия прямых броней</c:v>
                </c:pt>
                <c:pt idx="6">
                  <c:v>Налог с доп. выручки</c:v>
                </c:pt>
                <c:pt idx="7">
                  <c:v>База</c:v>
                </c:pt>
                <c:pt idx="8">
                  <c:v>Пересмотр цен в контрактах</c:v>
                </c:pt>
                <c:pt idx="9">
                  <c:v>Налог с доп. выручки </c:v>
                </c:pt>
                <c:pt idx="10">
                  <c:v>Апсайд</c:v>
                </c:pt>
              </c:strCache>
            </c:strRef>
          </c:cat>
          <c:val>
            <c:numRef>
              <c:f>Мост_прибыли!$I$58:$I$68</c:f>
              <c:numCache>
                <c:formatCode>#,##0.0;\(#,##0.0\);\-</c:formatCode>
                <c:ptCount val="11"/>
                <c:pt idx="0">
                  <c:v>0</c:v>
                </c:pt>
                <c:pt idx="1">
                  <c:v>8.67698</c:v>
                </c:pt>
                <c:pt idx="2">
                  <c:v>7.82978723404256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16.15075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strRef>
              <c:f>"Падение"</c:f>
              <c:strCache>
                <c:ptCount val="1"/>
                <c:pt idx="0">
                  <c:v>Падение</c:v>
                </c:pt>
              </c:strCache>
            </c:strRef>
          </c:tx>
          <c:spPr>
            <a:solidFill>
              <a:srgbClr val="8a93a0"/>
            </a:solidFill>
            <a:ln w="0">
              <a:noFill/>
            </a:ln>
          </c:spPr>
          <c:invertIfNegative val="0"/>
          <c:dLbls>
            <c:numFmt formatCode="0.0;\-0.0;;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2b2f38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Мост_прибыли!$B$58:$B$68</c:f>
              <c:strCache>
                <c:ptCount val="11"/>
                <c:pt idx="0">
                  <c:v>Сегодня</c:v>
                </c:pt>
                <c:pt idx="1">
                  <c:v>Цены на неконтрактные ночи</c:v>
                </c:pt>
                <c:pt idx="2">
                  <c:v>Микс каналов</c:v>
                </c:pt>
                <c:pt idx="3">
                  <c:v>Энергия</c:v>
                </c:pt>
                <c:pt idx="4">
                  <c:v>Персонал и SOP</c:v>
                </c:pt>
                <c:pt idx="5">
                  <c:v>Линия прямых броней</c:v>
                </c:pt>
                <c:pt idx="6">
                  <c:v>Налог с доп. выручки</c:v>
                </c:pt>
                <c:pt idx="7">
                  <c:v>База</c:v>
                </c:pt>
                <c:pt idx="8">
                  <c:v>Пересмотр цен в контрактах</c:v>
                </c:pt>
                <c:pt idx="9">
                  <c:v>Налог с доп. выручки </c:v>
                </c:pt>
                <c:pt idx="10">
                  <c:v>Апсайд</c:v>
                </c:pt>
              </c:strCache>
            </c:strRef>
          </c:cat>
          <c:val>
            <c:numRef>
              <c:f>Мост_прибыли!$J$58:$J$68</c:f>
              <c:numCache>
                <c:formatCode>#,##0.0;\(#,##0.0\);\-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5</c:v>
                </c:pt>
                <c:pt idx="6">
                  <c:v>0.4620608</c:v>
                </c:pt>
                <c:pt idx="7">
                  <c:v>0</c:v>
                </c:pt>
                <c:pt idx="8">
                  <c:v>0</c:v>
                </c:pt>
                <c:pt idx="9">
                  <c:v>0.688688</c:v>
                </c:pt>
                <c:pt idx="10">
                  <c:v>0</c:v>
                </c:pt>
              </c:numCache>
            </c:numRef>
          </c:val>
        </c:ser>
        <c:ser>
          <c:idx val="3"/>
          <c:order val="3"/>
          <c:tx>
            <c:strRef>
              <c:f>"Итог"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rgbClr val="2b2f38"/>
            </a:solidFill>
            <a:ln w="0">
              <a:noFill/>
            </a:ln>
          </c:spPr>
          <c:invertIfNegative val="0"/>
          <c:dLbls>
            <c:numFmt formatCode="0.0;\-0.0;;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Мост_прибыли!$B$58:$B$68</c:f>
              <c:strCache>
                <c:ptCount val="11"/>
                <c:pt idx="0">
                  <c:v>Сегодня</c:v>
                </c:pt>
                <c:pt idx="1">
                  <c:v>Цены на неконтрактные ночи</c:v>
                </c:pt>
                <c:pt idx="2">
                  <c:v>Микс каналов</c:v>
                </c:pt>
                <c:pt idx="3">
                  <c:v>Энергия</c:v>
                </c:pt>
                <c:pt idx="4">
                  <c:v>Персонал и SOP</c:v>
                </c:pt>
                <c:pt idx="5">
                  <c:v>Линия прямых броней</c:v>
                </c:pt>
                <c:pt idx="6">
                  <c:v>Налог с доп. выручки</c:v>
                </c:pt>
                <c:pt idx="7">
                  <c:v>База</c:v>
                </c:pt>
                <c:pt idx="8">
                  <c:v>Пересмотр цен в контрактах</c:v>
                </c:pt>
                <c:pt idx="9">
                  <c:v>Налог с доп. выручки </c:v>
                </c:pt>
                <c:pt idx="10">
                  <c:v>Апсайд</c:v>
                </c:pt>
              </c:strCache>
            </c:strRef>
          </c:cat>
          <c:val>
            <c:numRef>
              <c:f>Мост_прибыли!$K$58:$K$68</c:f>
              <c:numCache>
                <c:formatCode>#,##0.0;\(#,##0.0\);\-</c:formatCode>
                <c:ptCount val="11"/>
                <c:pt idx="0">
                  <c:v>192.5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206.544706434043</c:v>
                </c:pt>
                <c:pt idx="8">
                  <c:v>0</c:v>
                </c:pt>
                <c:pt idx="9">
                  <c:v>0</c:v>
                </c:pt>
                <c:pt idx="10">
                  <c:v>222.006768434043</c:v>
                </c:pt>
              </c:numCache>
            </c:numRef>
          </c:val>
        </c:ser>
        <c:gapWidth val="40"/>
        <c:overlap val="100"/>
        <c:axId val="23985277"/>
        <c:axId val="50562633"/>
      </c:barChart>
      <c:catAx>
        <c:axId val="239852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62633"/>
        <c:crosses val="autoZero"/>
        <c:auto val="1"/>
        <c:lblAlgn val="ctr"/>
        <c:lblOffset val="100"/>
        <c:noMultiLvlLbl val="0"/>
      </c:catAx>
      <c:valAx>
        <c:axId val="50562633"/>
        <c:scaling>
          <c:orientation val="minMax"/>
          <c:min val="170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852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8</xdr:col>
      <xdr:colOff>549000</xdr:colOff>
      <xdr:row>46</xdr:row>
      <xdr:rowOff>1080</xdr:rowOff>
    </xdr:to>
    <xdr:graphicFrame>
      <xdr:nvGraphicFramePr>
        <xdr:cNvPr id="0" name="Chart 1"/>
        <xdr:cNvGraphicFramePr/>
      </xdr:nvGraphicFramePr>
      <xdr:xfrm>
        <a:off x="141120" y="617220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70</xdr:row>
      <xdr:rowOff>78120</xdr:rowOff>
    </xdr:from>
    <xdr:to>
      <xdr:col>8</xdr:col>
      <xdr:colOff>423360</xdr:colOff>
      <xdr:row>89</xdr:row>
      <xdr:rowOff>58320</xdr:rowOff>
    </xdr:to>
    <xdr:graphicFrame>
      <xdr:nvGraphicFramePr>
        <xdr:cNvPr id="1" name="Chart 1"/>
        <xdr:cNvGraphicFramePr/>
      </xdr:nvGraphicFramePr>
      <xdr:xfrm>
        <a:off x="141120" y="145922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A70"/>
    <pageSetUpPr fitToPage="true"/>
  </sheetPr>
  <dimension ref="B1:F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78"/>
  </cols>
  <sheetData>
    <row r="1" customFormat="false" ht="24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6" t="s">
        <v>5</v>
      </c>
    </row>
    <row r="7" customFormat="false" ht="15" hidden="false" customHeight="false" outlineLevel="0" collapsed="false">
      <c r="B7" s="7" t="s">
        <v>6</v>
      </c>
    </row>
    <row r="8" customFormat="false" ht="15" hidden="false" customHeight="false" outlineLevel="0" collapsed="false">
      <c r="B8" s="8" t="s">
        <v>7</v>
      </c>
    </row>
    <row r="10" customFormat="false" ht="30" hidden="false" customHeight="true" outlineLevel="0" collapsed="false">
      <c r="B10" s="9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</row>
    <row r="11" customFormat="false" ht="15" hidden="false" customHeight="false" outlineLevel="0" collapsed="false">
      <c r="B11" s="11" t="s">
        <v>13</v>
      </c>
      <c r="C11" s="12"/>
      <c r="D11" s="12"/>
      <c r="E11" s="12"/>
      <c r="F11" s="12"/>
    </row>
    <row r="12" customFormat="false" ht="15" hidden="false" customHeight="false" outlineLevel="0" collapsed="false">
      <c r="B12" s="13" t="s">
        <v>14</v>
      </c>
      <c r="C12" s="14" t="n">
        <v>8</v>
      </c>
      <c r="D12" s="15" t="s">
        <v>15</v>
      </c>
      <c r="E12" s="15" t="s">
        <v>16</v>
      </c>
      <c r="F12" s="16" t="s">
        <v>17</v>
      </c>
    </row>
    <row r="13" customFormat="false" ht="15" hidden="false" customHeight="false" outlineLevel="0" collapsed="false">
      <c r="B13" s="13" t="s">
        <v>18</v>
      </c>
      <c r="C13" s="14" t="n">
        <v>365</v>
      </c>
      <c r="D13" s="15" t="s">
        <v>19</v>
      </c>
      <c r="E13" s="15" t="s">
        <v>20</v>
      </c>
      <c r="F13" s="16" t="s">
        <v>21</v>
      </c>
    </row>
    <row r="14" customFormat="false" ht="15" hidden="false" customHeight="false" outlineLevel="0" collapsed="false">
      <c r="B14" s="13" t="s">
        <v>22</v>
      </c>
      <c r="C14" s="17" t="n">
        <v>0.94</v>
      </c>
      <c r="D14" s="15" t="s">
        <v>23</v>
      </c>
      <c r="E14" s="15" t="s">
        <v>16</v>
      </c>
      <c r="F14" s="16" t="s">
        <v>24</v>
      </c>
    </row>
    <row r="15" customFormat="false" ht="15" hidden="false" customHeight="false" outlineLevel="0" collapsed="false">
      <c r="B15" s="13" t="s">
        <v>25</v>
      </c>
      <c r="C15" s="18" t="n">
        <v>3755</v>
      </c>
      <c r="D15" s="15" t="s">
        <v>26</v>
      </c>
      <c r="E15" s="15" t="s">
        <v>16</v>
      </c>
      <c r="F15" s="16" t="s">
        <v>27</v>
      </c>
    </row>
    <row r="16" customFormat="false" ht="15" hidden="false" customHeight="false" outlineLevel="0" collapsed="false">
      <c r="B16" s="13" t="s">
        <v>28</v>
      </c>
      <c r="C16" s="19" t="n">
        <v>800</v>
      </c>
      <c r="D16" s="15" t="s">
        <v>29</v>
      </c>
      <c r="E16" s="15" t="s">
        <v>16</v>
      </c>
      <c r="F16" s="16" t="s">
        <v>30</v>
      </c>
    </row>
    <row r="17" customFormat="false" ht="15" hidden="false" customHeight="false" outlineLevel="0" collapsed="false">
      <c r="B17" s="11" t="s">
        <v>31</v>
      </c>
      <c r="C17" s="12"/>
      <c r="D17" s="12"/>
      <c r="E17" s="12"/>
      <c r="F17" s="12"/>
    </row>
    <row r="18" customFormat="false" ht="15" hidden="false" customHeight="false" outlineLevel="0" collapsed="false">
      <c r="B18" s="13" t="s">
        <v>32</v>
      </c>
      <c r="C18" s="19" t="n">
        <v>350</v>
      </c>
      <c r="D18" s="15" t="s">
        <v>29</v>
      </c>
      <c r="E18" s="15" t="s">
        <v>16</v>
      </c>
      <c r="F18" s="16" t="s">
        <v>33</v>
      </c>
    </row>
    <row r="19" customFormat="false" ht="22.35" hidden="false" customHeight="false" outlineLevel="0" collapsed="false">
      <c r="B19" s="13" t="s">
        <v>34</v>
      </c>
      <c r="C19" s="20" t="n">
        <v>102.3</v>
      </c>
      <c r="D19" s="15" t="s">
        <v>29</v>
      </c>
      <c r="E19" s="15" t="s">
        <v>35</v>
      </c>
      <c r="F19" s="16" t="s">
        <v>36</v>
      </c>
    </row>
    <row r="20" customFormat="false" ht="15" hidden="false" customHeight="false" outlineLevel="0" collapsed="false">
      <c r="B20" s="13" t="s">
        <v>37</v>
      </c>
      <c r="C20" s="19" t="n">
        <v>60</v>
      </c>
      <c r="D20" s="15" t="s">
        <v>29</v>
      </c>
      <c r="E20" s="15" t="s">
        <v>16</v>
      </c>
      <c r="F20" s="16" t="s">
        <v>38</v>
      </c>
    </row>
    <row r="21" customFormat="false" ht="15" hidden="false" customHeight="false" outlineLevel="0" collapsed="false">
      <c r="B21" s="13" t="s">
        <v>39</v>
      </c>
      <c r="C21" s="19" t="n">
        <v>6.5</v>
      </c>
      <c r="D21" s="15" t="s">
        <v>29</v>
      </c>
      <c r="E21" s="15" t="s">
        <v>16</v>
      </c>
      <c r="F21" s="16" t="s">
        <v>40</v>
      </c>
    </row>
    <row r="22" customFormat="false" ht="15" hidden="false" customHeight="false" outlineLevel="0" collapsed="false">
      <c r="B22" s="13" t="s">
        <v>41</v>
      </c>
      <c r="C22" s="19" t="n">
        <v>100</v>
      </c>
      <c r="D22" s="15" t="s">
        <v>29</v>
      </c>
      <c r="E22" s="15" t="s">
        <v>16</v>
      </c>
      <c r="F22" s="16" t="s">
        <v>42</v>
      </c>
    </row>
    <row r="23" customFormat="false" ht="15" hidden="false" customHeight="false" outlineLevel="0" collapsed="false">
      <c r="B23" s="13" t="s">
        <v>43</v>
      </c>
      <c r="C23" s="21" t="n">
        <v>0.1225</v>
      </c>
      <c r="D23" s="15" t="s">
        <v>23</v>
      </c>
      <c r="E23" s="15" t="s">
        <v>16</v>
      </c>
      <c r="F23" s="16" t="s">
        <v>44</v>
      </c>
    </row>
    <row r="24" customFormat="false" ht="15" hidden="false" customHeight="false" outlineLevel="0" collapsed="false">
      <c r="B24" s="11" t="s">
        <v>45</v>
      </c>
      <c r="C24" s="12"/>
      <c r="D24" s="12"/>
      <c r="E24" s="12"/>
      <c r="F24" s="12"/>
    </row>
    <row r="25" customFormat="false" ht="15" hidden="false" customHeight="false" outlineLevel="0" collapsed="false">
      <c r="B25" s="13" t="s">
        <v>46</v>
      </c>
      <c r="C25" s="19" t="n">
        <v>15</v>
      </c>
      <c r="D25" s="15" t="s">
        <v>29</v>
      </c>
      <c r="E25" s="15" t="s">
        <v>16</v>
      </c>
      <c r="F25" s="16" t="s">
        <v>47</v>
      </c>
    </row>
    <row r="26" customFormat="false" ht="15" hidden="false" customHeight="false" outlineLevel="0" collapsed="false">
      <c r="B26" s="13" t="s">
        <v>48</v>
      </c>
      <c r="C26" s="19" t="n">
        <v>20</v>
      </c>
      <c r="D26" s="15" t="s">
        <v>29</v>
      </c>
      <c r="E26" s="15" t="s">
        <v>16</v>
      </c>
      <c r="F26" s="16"/>
    </row>
    <row r="27" customFormat="false" ht="15" hidden="false" customHeight="false" outlineLevel="0" collapsed="false">
      <c r="B27" s="13" t="s">
        <v>49</v>
      </c>
      <c r="C27" s="22" t="n">
        <f aca="false">AVERAGE(C25:C26)</f>
        <v>17.5</v>
      </c>
      <c r="D27" s="15" t="s">
        <v>29</v>
      </c>
      <c r="E27" s="15" t="s">
        <v>35</v>
      </c>
      <c r="F27" s="16" t="s">
        <v>50</v>
      </c>
    </row>
    <row r="28" customFormat="false" ht="15" hidden="false" customHeight="false" outlineLevel="0" collapsed="false">
      <c r="B28" s="11" t="s">
        <v>51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52</v>
      </c>
      <c r="C29" s="17" t="n">
        <v>0.2</v>
      </c>
      <c r="D29" s="15" t="s">
        <v>23</v>
      </c>
      <c r="E29" s="15" t="s">
        <v>16</v>
      </c>
      <c r="F29" s="16" t="s">
        <v>53</v>
      </c>
    </row>
    <row r="30" customFormat="false" ht="15" hidden="false" customHeight="false" outlineLevel="0" collapsed="false">
      <c r="B30" s="13" t="s">
        <v>54</v>
      </c>
      <c r="C30" s="17" t="n">
        <v>0.03</v>
      </c>
      <c r="D30" s="15" t="s">
        <v>23</v>
      </c>
      <c r="E30" s="15" t="s">
        <v>16</v>
      </c>
      <c r="F30" s="16" t="s">
        <v>55</v>
      </c>
    </row>
    <row r="31" customFormat="false" ht="15" hidden="false" customHeight="false" outlineLevel="0" collapsed="false">
      <c r="B31" s="13" t="s">
        <v>56</v>
      </c>
      <c r="C31" s="23" t="n">
        <f aca="false">C29+C30</f>
        <v>0.23</v>
      </c>
      <c r="D31" s="15" t="s">
        <v>23</v>
      </c>
      <c r="E31" s="15" t="s">
        <v>20</v>
      </c>
      <c r="F31" s="16" t="s">
        <v>57</v>
      </c>
    </row>
    <row r="32" customFormat="false" ht="15" hidden="false" customHeight="false" outlineLevel="0" collapsed="false">
      <c r="B32" s="13" t="s">
        <v>58</v>
      </c>
      <c r="C32" s="23" t="n">
        <f aca="false">1-C31</f>
        <v>0.77</v>
      </c>
      <c r="D32" s="15" t="s">
        <v>23</v>
      </c>
      <c r="E32" s="15" t="s">
        <v>20</v>
      </c>
      <c r="F32" s="16" t="s">
        <v>59</v>
      </c>
    </row>
    <row r="33" customFormat="false" ht="15" hidden="false" customHeight="false" outlineLevel="0" collapsed="false">
      <c r="B33" s="13" t="s">
        <v>60</v>
      </c>
      <c r="C33" s="17" t="n">
        <v>0.23</v>
      </c>
      <c r="D33" s="15" t="s">
        <v>23</v>
      </c>
      <c r="E33" s="15" t="s">
        <v>16</v>
      </c>
      <c r="F33" s="16" t="s">
        <v>61</v>
      </c>
    </row>
    <row r="34" customFormat="false" ht="15" hidden="false" customHeight="false" outlineLevel="0" collapsed="false">
      <c r="B34" s="13" t="s">
        <v>62</v>
      </c>
      <c r="C34" s="23" t="n">
        <f aca="false">C29*C33</f>
        <v>0.046</v>
      </c>
      <c r="D34" s="15" t="s">
        <v>23</v>
      </c>
      <c r="E34" s="15" t="s">
        <v>20</v>
      </c>
      <c r="F34" s="16" t="s">
        <v>63</v>
      </c>
    </row>
    <row r="35" customFormat="false" ht="15" hidden="false" customHeight="false" outlineLevel="0" collapsed="false">
      <c r="B35" s="11" t="s">
        <v>64</v>
      </c>
      <c r="C35" s="12"/>
      <c r="D35" s="12"/>
      <c r="E35" s="12"/>
      <c r="F35" s="12"/>
    </row>
    <row r="36" customFormat="false" ht="15" hidden="false" customHeight="false" outlineLevel="0" collapsed="false">
      <c r="B36" s="13" t="s">
        <v>65</v>
      </c>
      <c r="C36" s="24" t="n">
        <v>0.15</v>
      </c>
      <c r="D36" s="15" t="s">
        <v>23</v>
      </c>
      <c r="E36" s="15" t="s">
        <v>35</v>
      </c>
      <c r="F36" s="16" t="s">
        <v>35</v>
      </c>
    </row>
    <row r="37" customFormat="false" ht="15" hidden="false" customHeight="false" outlineLevel="0" collapsed="false">
      <c r="B37" s="13" t="s">
        <v>66</v>
      </c>
      <c r="C37" s="17" t="n">
        <v>0.06</v>
      </c>
      <c r="D37" s="15" t="s">
        <v>23</v>
      </c>
      <c r="E37" s="15" t="s">
        <v>16</v>
      </c>
      <c r="F37" s="16"/>
    </row>
    <row r="38" customFormat="false" ht="15" hidden="false" customHeight="false" outlineLevel="0" collapsed="false">
      <c r="B38" s="13" t="s">
        <v>67</v>
      </c>
      <c r="C38" s="17" t="n">
        <v>0.04</v>
      </c>
      <c r="D38" s="15" t="s">
        <v>23</v>
      </c>
      <c r="E38" s="15" t="s">
        <v>16</v>
      </c>
      <c r="F38" s="16"/>
    </row>
    <row r="39" customFormat="false" ht="15" hidden="false" customHeight="false" outlineLevel="0" collapsed="false">
      <c r="B39" s="13" t="s">
        <v>68</v>
      </c>
      <c r="C39" s="23" t="n">
        <f aca="false">C36*C37+(1-C36)*C38</f>
        <v>0.043</v>
      </c>
      <c r="D39" s="15" t="s">
        <v>23</v>
      </c>
      <c r="E39" s="15" t="s">
        <v>20</v>
      </c>
      <c r="F39" s="16" t="s">
        <v>69</v>
      </c>
    </row>
    <row r="40" customFormat="false" ht="15" hidden="false" customHeight="false" outlineLevel="0" collapsed="false">
      <c r="B40" s="13" t="s">
        <v>70</v>
      </c>
      <c r="C40" s="23" t="n">
        <f aca="false">$C$34+C39</f>
        <v>0.089</v>
      </c>
      <c r="D40" s="15" t="s">
        <v>23</v>
      </c>
      <c r="E40" s="15" t="s">
        <v>20</v>
      </c>
      <c r="F40" s="16" t="s">
        <v>71</v>
      </c>
    </row>
    <row r="41" customFormat="false" ht="15" hidden="false" customHeight="false" outlineLevel="0" collapsed="false">
      <c r="B41" s="11" t="s">
        <v>72</v>
      </c>
      <c r="C41" s="12"/>
      <c r="D41" s="12"/>
      <c r="E41" s="12"/>
      <c r="F41" s="12"/>
    </row>
    <row r="42" customFormat="false" ht="15" hidden="false" customHeight="false" outlineLevel="0" collapsed="false">
      <c r="B42" s="13" t="s">
        <v>73</v>
      </c>
      <c r="C42" s="24" t="n">
        <v>0.05</v>
      </c>
      <c r="D42" s="15" t="s">
        <v>23</v>
      </c>
      <c r="E42" s="15" t="s">
        <v>35</v>
      </c>
      <c r="F42" s="16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2F38"/>
    <pageSetUpPr fitToPage="true"/>
  </sheetPr>
  <dimension ref="B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70"/>
  </cols>
  <sheetData>
    <row r="1" customFormat="false" ht="24" hidden="false" customHeight="true" outlineLevel="0" collapsed="false">
      <c r="B1" s="1" t="s">
        <v>75</v>
      </c>
    </row>
    <row r="2" customFormat="false" ht="15" hidden="false" customHeight="false" outlineLevel="0" collapsed="false">
      <c r="B2" s="2" t="s">
        <v>76</v>
      </c>
    </row>
    <row r="4" customFormat="false" ht="15" hidden="false" customHeight="false" outlineLevel="0" collapsed="false">
      <c r="B4" s="11" t="s">
        <v>77</v>
      </c>
      <c r="C4" s="12"/>
      <c r="D4" s="12"/>
      <c r="E4" s="12"/>
    </row>
    <row r="5" customFormat="false" ht="30" hidden="false" customHeight="true" outlineLevel="0" collapsed="false">
      <c r="B5" s="25" t="s">
        <v>78</v>
      </c>
      <c r="C5" s="26" t="s">
        <v>9</v>
      </c>
      <c r="D5" s="26" t="s">
        <v>10</v>
      </c>
      <c r="E5" s="26" t="s">
        <v>79</v>
      </c>
    </row>
    <row r="6" customFormat="false" ht="15" hidden="false" customHeight="false" outlineLevel="0" collapsed="false">
      <c r="B6" s="13" t="s">
        <v>80</v>
      </c>
      <c r="C6" s="27" t="n">
        <f aca="false">Вводные!$C$12*Вводные!$C$13/12</f>
        <v>243.333333333333</v>
      </c>
      <c r="D6" s="15" t="s">
        <v>81</v>
      </c>
      <c r="E6" s="16" t="s">
        <v>82</v>
      </c>
    </row>
    <row r="7" customFormat="false" ht="15" hidden="false" customHeight="false" outlineLevel="0" collapsed="false">
      <c r="B7" s="13" t="s">
        <v>83</v>
      </c>
      <c r="C7" s="27" t="n">
        <f aca="false">$C$6*Вводные!$C$14</f>
        <v>228.733333333333</v>
      </c>
      <c r="D7" s="15" t="s">
        <v>81</v>
      </c>
      <c r="E7" s="16" t="s">
        <v>84</v>
      </c>
    </row>
    <row r="8" customFormat="false" ht="15" hidden="false" customHeight="false" outlineLevel="0" collapsed="false">
      <c r="B8" s="13" t="s">
        <v>85</v>
      </c>
      <c r="C8" s="28" t="n">
        <f aca="false">Вводные!$C$14*Вводные!$C$15*$C$6/1000</f>
        <v>858.893666666667</v>
      </c>
      <c r="D8" s="15" t="s">
        <v>29</v>
      </c>
      <c r="E8" s="16" t="s">
        <v>86</v>
      </c>
    </row>
    <row r="9" customFormat="false" ht="15" hidden="false" customHeight="false" outlineLevel="0" collapsed="false">
      <c r="B9" s="13" t="s">
        <v>87</v>
      </c>
      <c r="C9" s="29" t="n">
        <f aca="false">Вводные!$C$16</f>
        <v>800</v>
      </c>
      <c r="D9" s="15" t="s">
        <v>29</v>
      </c>
      <c r="E9" s="16" t="s">
        <v>88</v>
      </c>
    </row>
    <row r="10" customFormat="false" ht="15" hidden="false" customHeight="false" outlineLevel="0" collapsed="false">
      <c r="B10" s="13" t="s">
        <v>89</v>
      </c>
      <c r="C10" s="28" t="n">
        <f aca="false">$C$8-$C$9</f>
        <v>58.8936666666666</v>
      </c>
      <c r="D10" s="15" t="s">
        <v>29</v>
      </c>
      <c r="E10" s="16"/>
    </row>
    <row r="11" customFormat="false" ht="15" hidden="false" customHeight="false" outlineLevel="0" collapsed="false">
      <c r="B11" s="30" t="s">
        <v>90</v>
      </c>
      <c r="C11" s="31" t="n">
        <f aca="false">$C$9/$C$8</f>
        <v>0.931430782467834</v>
      </c>
      <c r="D11" s="15" t="s">
        <v>91</v>
      </c>
      <c r="E11" s="16" t="s">
        <v>92</v>
      </c>
    </row>
    <row r="12" customFormat="false" ht="15" hidden="false" customHeight="false" outlineLevel="0" collapsed="false">
      <c r="B12" s="13" t="s">
        <v>93</v>
      </c>
      <c r="C12" s="32" t="n">
        <f aca="false">$C$10*12/1000</f>
        <v>0.706723999999999</v>
      </c>
      <c r="D12" s="15" t="s">
        <v>94</v>
      </c>
      <c r="E12" s="16"/>
    </row>
    <row r="13" customFormat="false" ht="15" hidden="false" customHeight="false" outlineLevel="0" collapsed="false">
      <c r="B13" s="13" t="s">
        <v>95</v>
      </c>
      <c r="C13" s="33" t="n">
        <f aca="false">$C$9*1000/$C$7</f>
        <v>3497.52258816672</v>
      </c>
      <c r="D13" s="15" t="s">
        <v>26</v>
      </c>
      <c r="E13" s="16" t="s">
        <v>96</v>
      </c>
    </row>
    <row r="14" customFormat="false" ht="15" hidden="false" customHeight="false" outlineLevel="0" collapsed="false">
      <c r="B14" s="13" t="s">
        <v>97</v>
      </c>
      <c r="C14" s="23" t="n">
        <f aca="false">$C$9*1000/(Вводные!$C$15*$C$6)</f>
        <v>0.875544935519764</v>
      </c>
      <c r="D14" s="15" t="s">
        <v>23</v>
      </c>
      <c r="E14" s="16"/>
    </row>
    <row r="16" customFormat="false" ht="15" hidden="false" customHeight="false" outlineLevel="0" collapsed="false">
      <c r="B16" s="11" t="s">
        <v>98</v>
      </c>
      <c r="C16" s="12"/>
      <c r="D16" s="12"/>
      <c r="E16" s="12"/>
    </row>
    <row r="17" customFormat="false" ht="30" hidden="false" customHeight="true" outlineLevel="0" collapsed="false">
      <c r="B17" s="25" t="s">
        <v>99</v>
      </c>
      <c r="C17" s="26" t="s">
        <v>9</v>
      </c>
      <c r="D17" s="26" t="s">
        <v>10</v>
      </c>
      <c r="E17" s="26" t="s">
        <v>79</v>
      </c>
    </row>
    <row r="18" customFormat="false" ht="15" hidden="false" customHeight="false" outlineLevel="0" collapsed="false">
      <c r="B18" s="13" t="s">
        <v>100</v>
      </c>
      <c r="C18" s="29" t="n">
        <f aca="false">Вводные!$C$16</f>
        <v>800</v>
      </c>
      <c r="D18" s="15" t="s">
        <v>29</v>
      </c>
      <c r="E18" s="16"/>
    </row>
    <row r="19" customFormat="false" ht="15" hidden="false" customHeight="false" outlineLevel="0" collapsed="false">
      <c r="B19" s="13" t="s">
        <v>32</v>
      </c>
      <c r="C19" s="29" t="n">
        <f aca="false">Вводные!$C$18</f>
        <v>350</v>
      </c>
      <c r="D19" s="15" t="s">
        <v>29</v>
      </c>
      <c r="E19" s="16"/>
    </row>
    <row r="20" customFormat="false" ht="15" hidden="false" customHeight="false" outlineLevel="0" collapsed="false">
      <c r="B20" s="13" t="s">
        <v>101</v>
      </c>
      <c r="C20" s="29" t="n">
        <f aca="false">Вводные!$C$19</f>
        <v>102.3</v>
      </c>
      <c r="D20" s="15" t="s">
        <v>29</v>
      </c>
      <c r="E20" s="16"/>
    </row>
    <row r="21" customFormat="false" ht="15" hidden="false" customHeight="false" outlineLevel="0" collapsed="false">
      <c r="B21" s="13" t="s">
        <v>102</v>
      </c>
      <c r="C21" s="29" t="n">
        <f aca="false">Вводные!$C$20</f>
        <v>60</v>
      </c>
      <c r="D21" s="15" t="s">
        <v>29</v>
      </c>
      <c r="E21" s="16"/>
    </row>
    <row r="22" customFormat="false" ht="15" hidden="false" customHeight="false" outlineLevel="0" collapsed="false">
      <c r="B22" s="13" t="s">
        <v>39</v>
      </c>
      <c r="C22" s="29" t="n">
        <f aca="false">Вводные!$C$21</f>
        <v>6.5</v>
      </c>
      <c r="D22" s="15" t="s">
        <v>29</v>
      </c>
      <c r="E22" s="16"/>
    </row>
    <row r="23" customFormat="false" ht="15" hidden="false" customHeight="false" outlineLevel="0" collapsed="false">
      <c r="B23" s="30" t="s">
        <v>103</v>
      </c>
      <c r="C23" s="34" t="n">
        <f aca="false">SUM($C$19:$C$22)</f>
        <v>518.8</v>
      </c>
      <c r="D23" s="15" t="s">
        <v>29</v>
      </c>
      <c r="E23" s="16" t="s">
        <v>104</v>
      </c>
    </row>
    <row r="24" customFormat="false" ht="15" hidden="false" customHeight="false" outlineLevel="0" collapsed="false">
      <c r="B24" s="13" t="s">
        <v>105</v>
      </c>
      <c r="C24" s="29" t="n">
        <f aca="false">Вводные!$C$27</f>
        <v>17.5</v>
      </c>
      <c r="D24" s="15" t="s">
        <v>29</v>
      </c>
      <c r="E24" s="16" t="s">
        <v>106</v>
      </c>
    </row>
    <row r="25" customFormat="false" ht="15" hidden="false" customHeight="false" outlineLevel="0" collapsed="false">
      <c r="B25" s="13" t="s">
        <v>60</v>
      </c>
      <c r="C25" s="28" t="n">
        <f aca="false">$C$18*Вводные!$C$34</f>
        <v>36.8</v>
      </c>
      <c r="D25" s="15" t="s">
        <v>29</v>
      </c>
      <c r="E25" s="16" t="s">
        <v>107</v>
      </c>
    </row>
    <row r="26" customFormat="false" ht="15" hidden="false" customHeight="false" outlineLevel="0" collapsed="false">
      <c r="B26" s="30" t="s">
        <v>108</v>
      </c>
      <c r="C26" s="34" t="n">
        <f aca="false">$C$23+$C$24+$C$25</f>
        <v>573.1</v>
      </c>
      <c r="D26" s="15" t="s">
        <v>29</v>
      </c>
      <c r="E26" s="16" t="s">
        <v>109</v>
      </c>
    </row>
    <row r="27" customFormat="false" ht="15" hidden="false" customHeight="false" outlineLevel="0" collapsed="false">
      <c r="B27" s="13" t="s">
        <v>64</v>
      </c>
      <c r="C27" s="28" t="n">
        <f aca="false">$C$18*Вводные!$C$39</f>
        <v>34.4</v>
      </c>
      <c r="D27" s="15" t="s">
        <v>29</v>
      </c>
      <c r="E27" s="16" t="s">
        <v>110</v>
      </c>
    </row>
    <row r="28" customFormat="false" ht="15" hidden="false" customHeight="false" outlineLevel="0" collapsed="false">
      <c r="B28" s="30" t="s">
        <v>111</v>
      </c>
      <c r="C28" s="35" t="n">
        <f aca="false">$C$18-$C$26-$C$27</f>
        <v>192.5</v>
      </c>
      <c r="D28" s="15" t="s">
        <v>29</v>
      </c>
      <c r="E28" s="16" t="s">
        <v>112</v>
      </c>
    </row>
    <row r="29" customFormat="false" ht="15" hidden="false" customHeight="false" outlineLevel="0" collapsed="false">
      <c r="B29" s="13" t="s">
        <v>113</v>
      </c>
      <c r="C29" s="23" t="n">
        <f aca="false">$C$28/$C$18</f>
        <v>0.240625</v>
      </c>
      <c r="D29" s="15" t="s">
        <v>23</v>
      </c>
      <c r="E29" s="16" t="s">
        <v>114</v>
      </c>
    </row>
    <row r="30" customFormat="false" ht="15" hidden="false" customHeight="false" outlineLevel="0" collapsed="false">
      <c r="B30" s="13" t="s">
        <v>115</v>
      </c>
      <c r="C30" s="23" t="n">
        <f aca="false">($C$18-$C$26)/$C$18</f>
        <v>0.283625</v>
      </c>
      <c r="D30" s="15" t="s">
        <v>23</v>
      </c>
      <c r="E30" s="16" t="s">
        <v>116</v>
      </c>
    </row>
    <row r="31" customFormat="false" ht="15" hidden="false" customHeight="false" outlineLevel="0" collapsed="false">
      <c r="B31" s="13" t="s">
        <v>117</v>
      </c>
      <c r="C31" s="28" t="n">
        <f aca="false">$C$18*Вводные!$C$42</f>
        <v>40</v>
      </c>
      <c r="D31" s="15" t="s">
        <v>29</v>
      </c>
      <c r="E31" s="16" t="s">
        <v>118</v>
      </c>
    </row>
    <row r="32" customFormat="false" ht="15" hidden="false" customHeight="false" outlineLevel="0" collapsed="false">
      <c r="B32" s="13" t="s">
        <v>119</v>
      </c>
      <c r="C32" s="28" t="n">
        <f aca="false">$C$28-$C$31</f>
        <v>152.5</v>
      </c>
      <c r="D32" s="15" t="s">
        <v>29</v>
      </c>
      <c r="E32" s="16" t="s">
        <v>120</v>
      </c>
    </row>
    <row r="33" customFormat="false" ht="15" hidden="false" customHeight="false" outlineLevel="0" collapsed="false">
      <c r="B33" s="13" t="s">
        <v>121</v>
      </c>
      <c r="C33" s="23" t="n">
        <f aca="false">$C$23/$C$18</f>
        <v>0.6485</v>
      </c>
      <c r="D33" s="15" t="s">
        <v>23</v>
      </c>
      <c r="E33" s="16" t="s">
        <v>122</v>
      </c>
    </row>
    <row r="34" customFormat="false" ht="15" hidden="false" customHeight="false" outlineLevel="0" collapsed="false">
      <c r="B34" s="13" t="s">
        <v>123</v>
      </c>
      <c r="C34" s="23" t="n">
        <f aca="false">$C$19/$C$18</f>
        <v>0.4375</v>
      </c>
      <c r="D34" s="15" t="s">
        <v>23</v>
      </c>
      <c r="E34" s="16" t="s">
        <v>124</v>
      </c>
    </row>
    <row r="35" customFormat="false" ht="15" hidden="false" customHeight="false" outlineLevel="0" collapsed="false">
      <c r="B35" s="13" t="s">
        <v>125</v>
      </c>
      <c r="C35" s="36" t="n">
        <f aca="false">$C$19/$C$28</f>
        <v>1.81818181818182</v>
      </c>
      <c r="D35" s="15" t="s">
        <v>126</v>
      </c>
      <c r="E35" s="16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A70"/>
    <pageSetUpPr fitToPage="true"/>
  </sheetPr>
  <dimension ref="B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24" hidden="false" customHeight="true" outlineLevel="0" collapsed="false">
      <c r="B1" s="1" t="s">
        <v>128</v>
      </c>
    </row>
    <row r="2" customFormat="false" ht="15" hidden="false" customHeight="false" outlineLevel="0" collapsed="false">
      <c r="B2" s="2" t="s">
        <v>129</v>
      </c>
    </row>
    <row r="4" customFormat="false" ht="15" hidden="false" customHeight="false" outlineLevel="0" collapsed="false">
      <c r="B4" s="11" t="s">
        <v>130</v>
      </c>
      <c r="C4" s="12"/>
      <c r="D4" s="12"/>
      <c r="E4" s="12"/>
    </row>
    <row r="5" customFormat="false" ht="30" hidden="false" customHeight="true" outlineLevel="0" collapsed="false">
      <c r="B5" s="25" t="s">
        <v>99</v>
      </c>
      <c r="C5" s="26" t="s">
        <v>9</v>
      </c>
      <c r="D5" s="26" t="s">
        <v>10</v>
      </c>
      <c r="E5" s="26" t="s">
        <v>79</v>
      </c>
    </row>
    <row r="6" customFormat="false" ht="15" hidden="false" customHeight="false" outlineLevel="0" collapsed="false">
      <c r="B6" s="13" t="s">
        <v>131</v>
      </c>
      <c r="C6" s="33" t="n">
        <f aca="false">Вводные!$C$15</f>
        <v>3755</v>
      </c>
      <c r="D6" s="15" t="s">
        <v>26</v>
      </c>
      <c r="E6" s="16" t="s">
        <v>132</v>
      </c>
    </row>
    <row r="7" customFormat="false" ht="15" hidden="false" customHeight="false" outlineLevel="0" collapsed="false">
      <c r="B7" s="13" t="s">
        <v>105</v>
      </c>
      <c r="C7" s="33" t="n">
        <f aca="false">-База!$C$24*1000/База!$C$7</f>
        <v>-76.5083066161469</v>
      </c>
      <c r="D7" s="15" t="s">
        <v>26</v>
      </c>
      <c r="E7" s="16" t="s">
        <v>133</v>
      </c>
    </row>
    <row r="8" customFormat="false" ht="15" hidden="false" customHeight="false" outlineLevel="0" collapsed="false">
      <c r="B8" s="13" t="s">
        <v>134</v>
      </c>
      <c r="C8" s="33" t="n">
        <f aca="false">-$C$6*Вводные!$C$34</f>
        <v>-172.73</v>
      </c>
      <c r="D8" s="15" t="s">
        <v>26</v>
      </c>
      <c r="E8" s="16" t="s">
        <v>135</v>
      </c>
    </row>
    <row r="9" customFormat="false" ht="15" hidden="false" customHeight="false" outlineLevel="0" collapsed="false">
      <c r="B9" s="30" t="s">
        <v>136</v>
      </c>
      <c r="C9" s="37" t="n">
        <f aca="false">SUM($C$6:$C$8)</f>
        <v>3505.76169338385</v>
      </c>
      <c r="D9" s="15" t="s">
        <v>26</v>
      </c>
      <c r="E9" s="16" t="s">
        <v>137</v>
      </c>
    </row>
    <row r="10" customFormat="false" ht="15" hidden="false" customHeight="false" outlineLevel="0" collapsed="false">
      <c r="B10" s="13" t="s">
        <v>64</v>
      </c>
      <c r="C10" s="33" t="n">
        <f aca="false">-$C$6*Вводные!$C$39</f>
        <v>-161.465</v>
      </c>
      <c r="D10" s="15" t="s">
        <v>26</v>
      </c>
      <c r="E10" s="16" t="s">
        <v>138</v>
      </c>
    </row>
    <row r="11" customFormat="false" ht="15" hidden="false" customHeight="false" outlineLevel="0" collapsed="false">
      <c r="B11" s="30" t="s">
        <v>139</v>
      </c>
      <c r="C11" s="37" t="n">
        <f aca="false">$C$9+$C$10</f>
        <v>3344.29669338385</v>
      </c>
      <c r="D11" s="15" t="s">
        <v>26</v>
      </c>
      <c r="E11" s="16"/>
    </row>
    <row r="12" customFormat="false" ht="15" hidden="false" customHeight="false" outlineLevel="0" collapsed="false">
      <c r="B12" s="13" t="s">
        <v>140</v>
      </c>
      <c r="C12" s="33" t="n">
        <f aca="false">-База!$C$23*1000/База!$C$7</f>
        <v>-2268.14339842612</v>
      </c>
      <c r="D12" s="15" t="s">
        <v>26</v>
      </c>
      <c r="E12" s="16" t="s">
        <v>141</v>
      </c>
    </row>
    <row r="13" customFormat="false" ht="15" hidden="false" customHeight="false" outlineLevel="0" collapsed="false">
      <c r="B13" s="30" t="s">
        <v>142</v>
      </c>
      <c r="C13" s="37" t="n">
        <f aca="false">$C$11+$C$12</f>
        <v>1076.15329495774</v>
      </c>
      <c r="D13" s="15" t="s">
        <v>26</v>
      </c>
      <c r="E13" s="16"/>
    </row>
    <row r="14" customFormat="false" ht="15" hidden="false" customHeight="false" outlineLevel="0" collapsed="false">
      <c r="B14" s="13" t="s">
        <v>143</v>
      </c>
      <c r="C14" s="33" t="n">
        <f aca="false">$C$15-$C$13</f>
        <v>-234.561922180122</v>
      </c>
      <c r="D14" s="15" t="s">
        <v>26</v>
      </c>
      <c r="E14" s="16" t="s">
        <v>144</v>
      </c>
    </row>
    <row r="15" customFormat="false" ht="15" hidden="false" customHeight="false" outlineLevel="0" collapsed="false">
      <c r="B15" s="30" t="s">
        <v>145</v>
      </c>
      <c r="C15" s="38" t="n">
        <f aca="false">База!$C$28*1000/База!$C$7</f>
        <v>841.591372777616</v>
      </c>
      <c r="D15" s="15" t="s">
        <v>26</v>
      </c>
      <c r="E15" s="16" t="s">
        <v>146</v>
      </c>
    </row>
    <row r="16" customFormat="false" ht="15" hidden="false" customHeight="false" outlineLevel="0" collapsed="false">
      <c r="B16" s="5" t="s">
        <v>147</v>
      </c>
      <c r="C16" s="39" t="n">
        <f aca="false">-$C$6*(1-База!$C$11)*(1-Вводные!$C$40)</f>
        <v>-234.561922180122</v>
      </c>
      <c r="E16" s="5" t="s">
        <v>148</v>
      </c>
    </row>
    <row r="18" customFormat="false" ht="15" hidden="false" customHeight="false" outlineLevel="0" collapsed="false">
      <c r="B18" s="11" t="s">
        <v>149</v>
      </c>
      <c r="C18" s="12"/>
      <c r="D18" s="12"/>
      <c r="E18" s="12"/>
    </row>
    <row r="19" customFormat="false" ht="30" hidden="false" customHeight="true" outlineLevel="0" collapsed="false">
      <c r="B19" s="25" t="s">
        <v>99</v>
      </c>
      <c r="C19" s="26" t="s">
        <v>9</v>
      </c>
      <c r="D19" s="26" t="s">
        <v>10</v>
      </c>
      <c r="E19" s="26" t="s">
        <v>79</v>
      </c>
    </row>
    <row r="20" customFormat="false" ht="15" hidden="false" customHeight="false" outlineLevel="0" collapsed="false">
      <c r="B20" s="13" t="s">
        <v>100</v>
      </c>
      <c r="C20" s="28" t="n">
        <f aca="false">База!$C$18/Вводные!$C$12</f>
        <v>100</v>
      </c>
      <c r="D20" s="15" t="s">
        <v>29</v>
      </c>
      <c r="E20" s="16" t="s">
        <v>150</v>
      </c>
    </row>
    <row r="21" customFormat="false" ht="15" hidden="false" customHeight="false" outlineLevel="0" collapsed="false">
      <c r="B21" s="13" t="s">
        <v>151</v>
      </c>
      <c r="C21" s="28" t="n">
        <f aca="false">-База!$C$26/Вводные!$C$12</f>
        <v>-71.6375</v>
      </c>
      <c r="D21" s="15" t="s">
        <v>29</v>
      </c>
      <c r="E21" s="16"/>
    </row>
    <row r="22" customFormat="false" ht="15" hidden="false" customHeight="false" outlineLevel="0" collapsed="false">
      <c r="B22" s="13" t="s">
        <v>64</v>
      </c>
      <c r="C22" s="28" t="n">
        <f aca="false">-База!$C$27/Вводные!$C$12</f>
        <v>-4.3</v>
      </c>
      <c r="D22" s="15" t="s">
        <v>29</v>
      </c>
      <c r="E22" s="16"/>
    </row>
    <row r="23" customFormat="false" ht="15" hidden="false" customHeight="false" outlineLevel="0" collapsed="false">
      <c r="B23" s="30" t="s">
        <v>152</v>
      </c>
      <c r="C23" s="35" t="n">
        <f aca="false">SUM($C$20:$C$22)</f>
        <v>24.0625</v>
      </c>
      <c r="D23" s="15" t="s">
        <v>29</v>
      </c>
      <c r="E23" s="16"/>
    </row>
    <row r="25" customFormat="false" ht="15" hidden="false" customHeight="false" outlineLevel="0" collapsed="false">
      <c r="B25" s="11" t="s">
        <v>153</v>
      </c>
      <c r="C25" s="12"/>
      <c r="D25" s="12"/>
      <c r="E25" s="12"/>
    </row>
    <row r="26" customFormat="false" ht="30" hidden="false" customHeight="true" outlineLevel="0" collapsed="false">
      <c r="B26" s="25" t="s">
        <v>99</v>
      </c>
      <c r="C26" s="26" t="s">
        <v>29</v>
      </c>
      <c r="D26" s="26" t="s">
        <v>154</v>
      </c>
      <c r="E26" s="26" t="s">
        <v>155</v>
      </c>
    </row>
    <row r="27" customFormat="false" ht="15" hidden="false" customHeight="false" outlineLevel="0" collapsed="false">
      <c r="B27" s="40" t="s">
        <v>100</v>
      </c>
      <c r="C27" s="28" t="n">
        <f aca="false">База!$C$18</f>
        <v>800</v>
      </c>
      <c r="D27" s="28" t="n">
        <f aca="false">C27/$C$27*100</f>
        <v>100</v>
      </c>
      <c r="E27" s="41"/>
    </row>
    <row r="28" customFormat="false" ht="15" hidden="false" customHeight="false" outlineLevel="0" collapsed="false">
      <c r="B28" s="40" t="s">
        <v>32</v>
      </c>
      <c r="C28" s="28" t="n">
        <f aca="false">-База!$C$19</f>
        <v>-350</v>
      </c>
      <c r="D28" s="28" t="n">
        <f aca="false">C28/$C$27*100</f>
        <v>-43.75</v>
      </c>
      <c r="E28" s="41" t="s">
        <v>156</v>
      </c>
    </row>
    <row r="29" customFormat="false" ht="15" hidden="false" customHeight="false" outlineLevel="0" collapsed="false">
      <c r="B29" s="40" t="s">
        <v>101</v>
      </c>
      <c r="C29" s="28" t="n">
        <f aca="false">-База!$C$20</f>
        <v>-102.3</v>
      </c>
      <c r="D29" s="28" t="n">
        <f aca="false">C29/$C$27*100</f>
        <v>-12.7875</v>
      </c>
      <c r="E29" s="41"/>
    </row>
    <row r="30" customFormat="false" ht="15" hidden="false" customHeight="false" outlineLevel="0" collapsed="false">
      <c r="B30" s="40" t="s">
        <v>102</v>
      </c>
      <c r="C30" s="28" t="n">
        <f aca="false">-База!$C$21</f>
        <v>-60</v>
      </c>
      <c r="D30" s="28" t="n">
        <f aca="false">C30/$C$27*100</f>
        <v>-7.5</v>
      </c>
      <c r="E30" s="41" t="s">
        <v>157</v>
      </c>
    </row>
    <row r="31" customFormat="false" ht="15" hidden="false" customHeight="false" outlineLevel="0" collapsed="false">
      <c r="B31" s="40" t="s">
        <v>39</v>
      </c>
      <c r="C31" s="28" t="n">
        <f aca="false">-База!$C$22</f>
        <v>-6.5</v>
      </c>
      <c r="D31" s="28" t="n">
        <f aca="false">C31/$C$27*100</f>
        <v>-0.8125</v>
      </c>
      <c r="E31" s="41"/>
    </row>
    <row r="32" customFormat="false" ht="15" hidden="false" customHeight="false" outlineLevel="0" collapsed="false">
      <c r="B32" s="40" t="s">
        <v>105</v>
      </c>
      <c r="C32" s="28" t="n">
        <f aca="false">-База!$C$24</f>
        <v>-17.5</v>
      </c>
      <c r="D32" s="28" t="n">
        <f aca="false">C32/$C$27*100</f>
        <v>-2.1875</v>
      </c>
      <c r="E32" s="41"/>
    </row>
    <row r="33" customFormat="false" ht="15" hidden="false" customHeight="false" outlineLevel="0" collapsed="false">
      <c r="B33" s="40" t="s">
        <v>60</v>
      </c>
      <c r="C33" s="28" t="n">
        <f aca="false">-База!$C$25</f>
        <v>-36.8</v>
      </c>
      <c r="D33" s="28" t="n">
        <f aca="false">C33/$C$27*100</f>
        <v>-4.6</v>
      </c>
      <c r="E33" s="41"/>
    </row>
    <row r="34" customFormat="false" ht="15" hidden="false" customHeight="false" outlineLevel="0" collapsed="false">
      <c r="B34" s="40" t="s">
        <v>64</v>
      </c>
      <c r="C34" s="28" t="n">
        <f aca="false">-База!$C$27</f>
        <v>-34.4</v>
      </c>
      <c r="D34" s="28" t="n">
        <f aca="false">C34/$C$27*100</f>
        <v>-4.3</v>
      </c>
      <c r="E34" s="41"/>
    </row>
    <row r="35" customFormat="false" ht="15" hidden="false" customHeight="false" outlineLevel="0" collapsed="false">
      <c r="B35" s="42" t="s">
        <v>158</v>
      </c>
      <c r="C35" s="43" t="n">
        <f aca="false">SUM(C27:C34)</f>
        <v>192.5</v>
      </c>
      <c r="D35" s="43" t="n">
        <f aca="false">C35/$C$27*100</f>
        <v>24.0625</v>
      </c>
      <c r="E35" s="5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D47"/>
    <pageSetUpPr fitToPage="true"/>
  </sheetPr>
  <dimension ref="B1:S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8" min="16" style="0" width="10"/>
    <col collapsed="false" customWidth="true" hidden="false" outlineLevel="0" max="19" min="19" style="0" width="30"/>
  </cols>
  <sheetData>
    <row r="1" customFormat="false" ht="24" hidden="false" customHeight="true" outlineLevel="0" collapsed="false">
      <c r="B1" s="1" t="s">
        <v>160</v>
      </c>
    </row>
    <row r="2" customFormat="false" ht="15" hidden="false" customHeight="false" outlineLevel="0" collapsed="false">
      <c r="B2" s="2" t="s">
        <v>161</v>
      </c>
    </row>
    <row r="4" customFormat="false" ht="15" hidden="false" customHeight="false" outlineLevel="0" collapsed="false">
      <c r="B4" s="11" t="s">
        <v>162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customFormat="false" ht="30" hidden="false" customHeight="true" outlineLevel="0" collapsed="false">
      <c r="B5" s="25" t="s">
        <v>8</v>
      </c>
      <c r="C5" s="26" t="s">
        <v>9</v>
      </c>
      <c r="D5" s="26" t="s">
        <v>10</v>
      </c>
    </row>
    <row r="6" customFormat="false" ht="15" hidden="false" customHeight="false" outlineLevel="0" collapsed="false">
      <c r="B6" s="13" t="s">
        <v>163</v>
      </c>
      <c r="C6" s="44" t="n">
        <v>0.1</v>
      </c>
      <c r="D6" s="15" t="s">
        <v>23</v>
      </c>
      <c r="F6" s="5" t="s">
        <v>164</v>
      </c>
    </row>
    <row r="7" customFormat="false" ht="15" hidden="false" customHeight="false" outlineLevel="0" collapsed="false">
      <c r="B7" s="13" t="s">
        <v>165</v>
      </c>
      <c r="C7" s="44" t="n">
        <v>0.15</v>
      </c>
      <c r="D7" s="15" t="s">
        <v>23</v>
      </c>
      <c r="F7" s="5" t="s">
        <v>166</v>
      </c>
    </row>
    <row r="8" customFormat="false" ht="15" hidden="false" customHeight="false" outlineLevel="0" collapsed="false">
      <c r="B8" s="13" t="s">
        <v>167</v>
      </c>
      <c r="C8" s="44" t="n">
        <v>0.08</v>
      </c>
      <c r="D8" s="15" t="s">
        <v>23</v>
      </c>
      <c r="F8" s="5" t="s">
        <v>168</v>
      </c>
    </row>
    <row r="9" customFormat="false" ht="15" hidden="false" customHeight="false" outlineLevel="0" collapsed="false">
      <c r="B9" s="13" t="s">
        <v>169</v>
      </c>
      <c r="C9" s="44" t="n">
        <v>0.1</v>
      </c>
      <c r="D9" s="15" t="s">
        <v>23</v>
      </c>
    </row>
    <row r="10" customFormat="false" ht="15" hidden="false" customHeight="false" outlineLevel="0" collapsed="false">
      <c r="B10" s="13" t="s">
        <v>170</v>
      </c>
      <c r="C10" s="44" t="n">
        <v>0.2</v>
      </c>
      <c r="D10" s="15" t="s">
        <v>23</v>
      </c>
    </row>
    <row r="11" customFormat="false" ht="15" hidden="false" customHeight="false" outlineLevel="0" collapsed="false">
      <c r="B11" s="13" t="s">
        <v>171</v>
      </c>
      <c r="C11" s="20" t="n">
        <v>60</v>
      </c>
      <c r="D11" s="15" t="s">
        <v>172</v>
      </c>
    </row>
    <row r="12" customFormat="false" ht="15" hidden="false" customHeight="false" outlineLevel="0" collapsed="false">
      <c r="B12" s="13" t="s">
        <v>173</v>
      </c>
      <c r="C12" s="20" t="n">
        <v>100</v>
      </c>
      <c r="D12" s="15" t="s">
        <v>172</v>
      </c>
    </row>
    <row r="14" customFormat="false" ht="15" hidden="false" customHeight="false" outlineLevel="0" collapsed="false">
      <c r="B14" s="11" t="s">
        <v>174</v>
      </c>
      <c r="C14" s="45" t="s">
        <v>175</v>
      </c>
      <c r="D14" s="12"/>
      <c r="E14" s="12"/>
      <c r="F14" s="12"/>
      <c r="G14" s="12"/>
      <c r="H14" s="12"/>
      <c r="I14" s="45" t="s">
        <v>176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customFormat="false" ht="42" hidden="false" customHeight="true" outlineLevel="0" collapsed="false">
      <c r="B15" s="9" t="s">
        <v>177</v>
      </c>
      <c r="C15" s="10" t="s">
        <v>178</v>
      </c>
      <c r="D15" s="10" t="s">
        <v>179</v>
      </c>
      <c r="E15" s="10" t="s">
        <v>180</v>
      </c>
      <c r="F15" s="10" t="s">
        <v>181</v>
      </c>
      <c r="G15" s="10" t="s">
        <v>182</v>
      </c>
      <c r="H15" s="10" t="s">
        <v>183</v>
      </c>
      <c r="I15" s="10" t="s">
        <v>100</v>
      </c>
      <c r="J15" s="10" t="s">
        <v>184</v>
      </c>
      <c r="K15" s="10" t="s">
        <v>105</v>
      </c>
      <c r="L15" s="10" t="s">
        <v>185</v>
      </c>
      <c r="M15" s="10" t="s">
        <v>186</v>
      </c>
      <c r="N15" s="10" t="s">
        <v>158</v>
      </c>
      <c r="O15" s="10" t="s">
        <v>187</v>
      </c>
      <c r="P15" s="10" t="s">
        <v>188</v>
      </c>
      <c r="Q15" s="10" t="s">
        <v>189</v>
      </c>
      <c r="R15" s="10" t="s">
        <v>190</v>
      </c>
      <c r="S15" s="10" t="s">
        <v>191</v>
      </c>
    </row>
    <row r="16" customFormat="false" ht="15" hidden="false" customHeight="false" outlineLevel="0" collapsed="false">
      <c r="B16" s="13" t="str">
        <f aca="false">"База"</f>
        <v>База</v>
      </c>
      <c r="C16" s="46" t="n">
        <v>0</v>
      </c>
      <c r="D16" s="47" t="n">
        <f aca="false">C16</f>
        <v>0</v>
      </c>
      <c r="E16" s="47" t="n">
        <f aca="false">C16</f>
        <v>0</v>
      </c>
      <c r="F16" s="46" t="n">
        <v>0</v>
      </c>
      <c r="G16" s="46" t="n">
        <v>0</v>
      </c>
      <c r="H16" s="19" t="n">
        <v>0</v>
      </c>
      <c r="I16" s="28" t="n">
        <f aca="false">База!$C$18*(1+C16)</f>
        <v>800</v>
      </c>
      <c r="J16" s="28" t="n">
        <f aca="false">База!$C$23+Вводные!$C$18*F16+Вводные!$C$20*G16+H16</f>
        <v>518.8</v>
      </c>
      <c r="K16" s="28" t="n">
        <f aca="false">База!$C$24*(1+D16)</f>
        <v>17.5</v>
      </c>
      <c r="L16" s="28" t="n">
        <f aca="false">База!$C$25*(1+E16)</f>
        <v>36.8</v>
      </c>
      <c r="M16" s="28" t="n">
        <f aca="false">I16*Вводные!$C$39</f>
        <v>34.4</v>
      </c>
      <c r="N16" s="35" t="n">
        <f aca="false">I16-J16-K16-L16-M16</f>
        <v>192.5</v>
      </c>
      <c r="O16" s="28" t="n">
        <f aca="false">ROUND(N16-База!$C$28,9)</f>
        <v>0</v>
      </c>
      <c r="P16" s="48" t="n">
        <f aca="false">O16/База!$C$28</f>
        <v>0</v>
      </c>
      <c r="Q16" s="23" t="n">
        <f aca="false">N16/I16</f>
        <v>0.240625</v>
      </c>
      <c r="R16" s="36" t="str">
        <f aca="false">IF(AND(C16&lt;&gt;0,F16=0,G16=0,H16=0),P16/C16,"–")</f>
        <v>–</v>
      </c>
      <c r="S16" s="16" t="s">
        <v>192</v>
      </c>
    </row>
    <row r="17" customFormat="false" ht="15" hidden="false" customHeight="false" outlineLevel="0" collapsed="false">
      <c r="B17" s="13" t="str">
        <f aca="false">"Выручка −"&amp;TEXT(Стресс_тесты!$C$6,"0%")</f>
        <v>Выручка −10%</v>
      </c>
      <c r="C17" s="47" t="n">
        <f aca="false">-Стресс_тесты!$C$6</f>
        <v>-0.1</v>
      </c>
      <c r="D17" s="47" t="n">
        <f aca="false">C17</f>
        <v>-0.1</v>
      </c>
      <c r="E17" s="47" t="n">
        <f aca="false">C17</f>
        <v>-0.1</v>
      </c>
      <c r="F17" s="46" t="n">
        <v>0</v>
      </c>
      <c r="G17" s="46" t="n">
        <v>0</v>
      </c>
      <c r="H17" s="19" t="n">
        <v>0</v>
      </c>
      <c r="I17" s="28" t="n">
        <f aca="false">База!$C$18*(1+C17)</f>
        <v>720</v>
      </c>
      <c r="J17" s="28" t="n">
        <f aca="false">База!$C$23+Вводные!$C$18*F17+Вводные!$C$20*G17+H17</f>
        <v>518.8</v>
      </c>
      <c r="K17" s="28" t="n">
        <f aca="false">База!$C$24*(1+D17)</f>
        <v>15.75</v>
      </c>
      <c r="L17" s="28" t="n">
        <f aca="false">База!$C$25*(1+E17)</f>
        <v>33.12</v>
      </c>
      <c r="M17" s="28" t="n">
        <f aca="false">I17*Вводные!$C$39</f>
        <v>30.96</v>
      </c>
      <c r="N17" s="35" t="n">
        <f aca="false">I17-J17-K17-L17-M17</f>
        <v>121.37</v>
      </c>
      <c r="O17" s="28" t="n">
        <f aca="false">ROUND(N17-База!$C$28,9)</f>
        <v>-71.13</v>
      </c>
      <c r="P17" s="48" t="n">
        <f aca="false">O17/База!$C$28</f>
        <v>-0.369506493506493</v>
      </c>
      <c r="Q17" s="23" t="n">
        <f aca="false">N17/I17</f>
        <v>0.168569444444445</v>
      </c>
      <c r="R17" s="36" t="n">
        <f aca="false">IF(AND(C17&lt;&gt;0,F17=0,G17=0,H17=0),P17/C17,"–")</f>
        <v>3.69506493506493</v>
      </c>
      <c r="S17" s="16" t="s">
        <v>192</v>
      </c>
    </row>
    <row r="18" customFormat="false" ht="15" hidden="false" customHeight="false" outlineLevel="0" collapsed="false">
      <c r="B18" s="13" t="str">
        <f aca="false">"Выручка −"&amp;TEXT(Стресс_тесты!$C$7,"0%")</f>
        <v>Выручка −15%</v>
      </c>
      <c r="C18" s="47" t="n">
        <f aca="false">-Стресс_тесты!$C$7</f>
        <v>-0.15</v>
      </c>
      <c r="D18" s="47" t="n">
        <f aca="false">C18</f>
        <v>-0.15</v>
      </c>
      <c r="E18" s="47" t="n">
        <f aca="false">C18</f>
        <v>-0.15</v>
      </c>
      <c r="F18" s="46" t="n">
        <v>0</v>
      </c>
      <c r="G18" s="46" t="n">
        <v>0</v>
      </c>
      <c r="H18" s="19" t="n">
        <v>0</v>
      </c>
      <c r="I18" s="28" t="n">
        <f aca="false">База!$C$18*(1+C18)</f>
        <v>680</v>
      </c>
      <c r="J18" s="28" t="n">
        <f aca="false">База!$C$23+Вводные!$C$18*F18+Вводные!$C$20*G18+H18</f>
        <v>518.8</v>
      </c>
      <c r="K18" s="28" t="n">
        <f aca="false">База!$C$24*(1+D18)</f>
        <v>14.875</v>
      </c>
      <c r="L18" s="28" t="n">
        <f aca="false">База!$C$25*(1+E18)</f>
        <v>31.28</v>
      </c>
      <c r="M18" s="28" t="n">
        <f aca="false">I18*Вводные!$C$39</f>
        <v>29.24</v>
      </c>
      <c r="N18" s="35" t="n">
        <f aca="false">I18-J18-K18-L18-M18</f>
        <v>85.805</v>
      </c>
      <c r="O18" s="28" t="n">
        <f aca="false">ROUND(N18-База!$C$28,9)</f>
        <v>-106.695</v>
      </c>
      <c r="P18" s="48" t="n">
        <f aca="false">O18/База!$C$28</f>
        <v>-0.55425974025974</v>
      </c>
      <c r="Q18" s="23" t="n">
        <f aca="false">N18/I18</f>
        <v>0.126183823529412</v>
      </c>
      <c r="R18" s="36" t="n">
        <f aca="false">IF(AND(C18&lt;&gt;0,F18=0,G18=0,H18=0),P18/C18,"–")</f>
        <v>3.69506493506493</v>
      </c>
      <c r="S18" s="16" t="s">
        <v>192</v>
      </c>
    </row>
    <row r="19" customFormat="false" ht="15" hidden="false" customHeight="false" outlineLevel="0" collapsed="false">
      <c r="B19" s="13" t="str">
        <f aca="false">"Потеря двух мобильных операторов (−"&amp;TEXT(Стресс_тесты!$C$8,"0%")&amp;" выручки)"</f>
        <v>Потеря двух мобильных операторов (−8% выручки)</v>
      </c>
      <c r="C19" s="47" t="n">
        <f aca="false">-Стресс_тесты!$C$8</f>
        <v>-0.08</v>
      </c>
      <c r="D19" s="47" t="n">
        <f aca="false">C19</f>
        <v>-0.08</v>
      </c>
      <c r="E19" s="46" t="n">
        <v>0</v>
      </c>
      <c r="F19" s="46" t="n">
        <v>0</v>
      </c>
      <c r="G19" s="46" t="n">
        <v>0</v>
      </c>
      <c r="H19" s="19" t="n">
        <v>0</v>
      </c>
      <c r="I19" s="28" t="n">
        <f aca="false">База!$C$18*(1+C19)</f>
        <v>736</v>
      </c>
      <c r="J19" s="28" t="n">
        <f aca="false">База!$C$23+Вводные!$C$18*F19+Вводные!$C$20*G19+H19</f>
        <v>518.8</v>
      </c>
      <c r="K19" s="28" t="n">
        <f aca="false">База!$C$24*(1+D19)</f>
        <v>16.1</v>
      </c>
      <c r="L19" s="28" t="n">
        <f aca="false">База!$C$25*(1+E19)</f>
        <v>36.8</v>
      </c>
      <c r="M19" s="28" t="n">
        <f aca="false">I19*Вводные!$C$39</f>
        <v>31.648</v>
      </c>
      <c r="N19" s="35" t="n">
        <f aca="false">I19-J19-K19-L19-M19</f>
        <v>132.652</v>
      </c>
      <c r="O19" s="28" t="n">
        <f aca="false">ROUND(N19-База!$C$28,9)</f>
        <v>-59.848</v>
      </c>
      <c r="P19" s="48" t="n">
        <f aca="false">O19/База!$C$28</f>
        <v>-0.310898701298701</v>
      </c>
      <c r="Q19" s="23" t="n">
        <f aca="false">N19/I19</f>
        <v>0.180233695652174</v>
      </c>
      <c r="R19" s="36" t="n">
        <f aca="false">IF(AND(C19&lt;&gt;0,F19=0,G19=0,H19=0),P19/C19,"–")</f>
        <v>3.88623376623376</v>
      </c>
      <c r="S19" s="16" t="s">
        <v>192</v>
      </c>
    </row>
    <row r="20" customFormat="false" ht="15" hidden="false" customHeight="false" outlineLevel="0" collapsed="false">
      <c r="B20" s="13" t="str">
        <f aca="false">"Аренда +"&amp;TEXT(Стресс_тесты!$C$9,"0%")</f>
        <v>Аренда +10%</v>
      </c>
      <c r="C20" s="46" t="n">
        <v>0</v>
      </c>
      <c r="D20" s="47" t="n">
        <f aca="false">C20</f>
        <v>0</v>
      </c>
      <c r="E20" s="47" t="n">
        <f aca="false">C20</f>
        <v>0</v>
      </c>
      <c r="F20" s="47" t="n">
        <f aca="false">Стресс_тесты!$C$9</f>
        <v>0.1</v>
      </c>
      <c r="G20" s="46" t="n">
        <v>0</v>
      </c>
      <c r="H20" s="19" t="n">
        <v>0</v>
      </c>
      <c r="I20" s="28" t="n">
        <f aca="false">База!$C$18*(1+C20)</f>
        <v>800</v>
      </c>
      <c r="J20" s="28" t="n">
        <f aca="false">База!$C$23+Вводные!$C$18*F20+Вводные!$C$20*G20+H20</f>
        <v>553.8</v>
      </c>
      <c r="K20" s="28" t="n">
        <f aca="false">База!$C$24*(1+D20)</f>
        <v>17.5</v>
      </c>
      <c r="L20" s="28" t="n">
        <f aca="false">База!$C$25*(1+E20)</f>
        <v>36.8</v>
      </c>
      <c r="M20" s="28" t="n">
        <f aca="false">I20*Вводные!$C$39</f>
        <v>34.4</v>
      </c>
      <c r="N20" s="35" t="n">
        <f aca="false">I20-J20-K20-L20-M20</f>
        <v>157.5</v>
      </c>
      <c r="O20" s="28" t="n">
        <f aca="false">ROUND(N20-База!$C$28,9)</f>
        <v>-35</v>
      </c>
      <c r="P20" s="48" t="n">
        <f aca="false">O20/База!$C$28</f>
        <v>-0.181818181818182</v>
      </c>
      <c r="Q20" s="23" t="n">
        <f aca="false">N20/I20</f>
        <v>0.196875</v>
      </c>
      <c r="R20" s="36" t="str">
        <f aca="false">IF(AND(C20&lt;&gt;0,F20=0,G20=0,H20=0),P20/C20,"–")</f>
        <v>–</v>
      </c>
      <c r="S20" s="16" t="s">
        <v>192</v>
      </c>
    </row>
    <row r="21" customFormat="false" ht="15" hidden="false" customHeight="false" outlineLevel="0" collapsed="false">
      <c r="B21" s="13" t="str">
        <f aca="false">"Электричество +"&amp;TEXT(Стресс_тесты!$C$10,"0%")</f>
        <v>Электричество +20%</v>
      </c>
      <c r="C21" s="46" t="n">
        <v>0</v>
      </c>
      <c r="D21" s="47" t="n">
        <f aca="false">C21</f>
        <v>0</v>
      </c>
      <c r="E21" s="47" t="n">
        <f aca="false">C21</f>
        <v>0</v>
      </c>
      <c r="F21" s="46" t="n">
        <v>0</v>
      </c>
      <c r="G21" s="47" t="n">
        <f aca="false">Стресс_тесты!$C$10</f>
        <v>0.2</v>
      </c>
      <c r="H21" s="19" t="n">
        <v>0</v>
      </c>
      <c r="I21" s="28" t="n">
        <f aca="false">База!$C$18*(1+C21)</f>
        <v>800</v>
      </c>
      <c r="J21" s="28" t="n">
        <f aca="false">База!$C$23+Вводные!$C$18*F21+Вводные!$C$20*G21+H21</f>
        <v>530.8</v>
      </c>
      <c r="K21" s="28" t="n">
        <f aca="false">База!$C$24*(1+D21)</f>
        <v>17.5</v>
      </c>
      <c r="L21" s="28" t="n">
        <f aca="false">База!$C$25*(1+E21)</f>
        <v>36.8</v>
      </c>
      <c r="M21" s="28" t="n">
        <f aca="false">I21*Вводные!$C$39</f>
        <v>34.4</v>
      </c>
      <c r="N21" s="35" t="n">
        <f aca="false">I21-J21-K21-L21-M21</f>
        <v>180.5</v>
      </c>
      <c r="O21" s="28" t="n">
        <f aca="false">ROUND(N21-База!$C$28,9)</f>
        <v>-12</v>
      </c>
      <c r="P21" s="48" t="n">
        <f aca="false">O21/База!$C$28</f>
        <v>-0.0623376623376623</v>
      </c>
      <c r="Q21" s="23" t="n">
        <f aca="false">N21/I21</f>
        <v>0.225625</v>
      </c>
      <c r="R21" s="36" t="str">
        <f aca="false">IF(AND(C21&lt;&gt;0,F21=0,G21=0,H21=0),P21/C21,"–")</f>
        <v>–</v>
      </c>
      <c r="S21" s="16" t="s">
        <v>192</v>
      </c>
    </row>
    <row r="22" customFormat="false" ht="15" hidden="false" customHeight="false" outlineLevel="0" collapsed="false">
      <c r="B22" s="13" t="str">
        <f aca="false">"Управляющий за "&amp;TEXT(Стресс_тесты!$C$11,"0")&amp;" тыс."</f>
        <v>Управляющий за 60 тыс.</v>
      </c>
      <c r="C22" s="46" t="n">
        <v>0</v>
      </c>
      <c r="D22" s="47" t="n">
        <f aca="false">C22</f>
        <v>0</v>
      </c>
      <c r="E22" s="47" t="n">
        <f aca="false">C22</f>
        <v>0</v>
      </c>
      <c r="F22" s="46" t="n">
        <v>0</v>
      </c>
      <c r="G22" s="46" t="n">
        <v>0</v>
      </c>
      <c r="H22" s="28" t="n">
        <f aca="false">Стресс_тесты!$C$11</f>
        <v>60</v>
      </c>
      <c r="I22" s="28" t="n">
        <f aca="false">База!$C$18*(1+C22)</f>
        <v>800</v>
      </c>
      <c r="J22" s="28" t="n">
        <f aca="false">База!$C$23+Вводные!$C$18*F22+Вводные!$C$20*G22+H22</f>
        <v>578.8</v>
      </c>
      <c r="K22" s="28" t="n">
        <f aca="false">База!$C$24*(1+D22)</f>
        <v>17.5</v>
      </c>
      <c r="L22" s="28" t="n">
        <f aca="false">База!$C$25*(1+E22)</f>
        <v>36.8</v>
      </c>
      <c r="M22" s="28" t="n">
        <f aca="false">I22*Вводные!$C$39</f>
        <v>34.4</v>
      </c>
      <c r="N22" s="35" t="n">
        <f aca="false">I22-J22-K22-L22-M22</f>
        <v>132.5</v>
      </c>
      <c r="O22" s="28" t="n">
        <f aca="false">ROUND(N22-База!$C$28,9)</f>
        <v>-60</v>
      </c>
      <c r="P22" s="48" t="n">
        <f aca="false">O22/База!$C$28</f>
        <v>-0.311688311688312</v>
      </c>
      <c r="Q22" s="23" t="n">
        <f aca="false">N22/I22</f>
        <v>0.165625</v>
      </c>
      <c r="R22" s="36" t="str">
        <f aca="false">IF(AND(C22&lt;&gt;0,F22=0,G22=0,H22=0),P22/C22,"–")</f>
        <v>–</v>
      </c>
      <c r="S22" s="16" t="s">
        <v>192</v>
      </c>
    </row>
    <row r="23" customFormat="false" ht="15" hidden="false" customHeight="false" outlineLevel="0" collapsed="false">
      <c r="B23" s="13" t="str">
        <f aca="false">"Электричество "&amp;TEXT(Стресс_тесты!$C$12,"0")&amp;" тыс. (месяц отопления)"</f>
        <v>Электричество 100 тыс. (месяц отопления)</v>
      </c>
      <c r="C23" s="46" t="n">
        <v>0</v>
      </c>
      <c r="D23" s="47" t="n">
        <f aca="false">C23</f>
        <v>0</v>
      </c>
      <c r="E23" s="47" t="n">
        <f aca="false">C23</f>
        <v>0</v>
      </c>
      <c r="F23" s="46" t="n">
        <v>0</v>
      </c>
      <c r="G23" s="47" t="n">
        <f aca="false">Стресс_тесты!$C$12/Вводные!$C$20-1</f>
        <v>0.666666666666667</v>
      </c>
      <c r="H23" s="19" t="n">
        <v>0</v>
      </c>
      <c r="I23" s="28" t="n">
        <f aca="false">База!$C$18*(1+C23)</f>
        <v>800</v>
      </c>
      <c r="J23" s="28" t="n">
        <f aca="false">База!$C$23+Вводные!$C$18*F23+Вводные!$C$20*G23+H23</f>
        <v>558.8</v>
      </c>
      <c r="K23" s="28" t="n">
        <f aca="false">База!$C$24*(1+D23)</f>
        <v>17.5</v>
      </c>
      <c r="L23" s="28" t="n">
        <f aca="false">База!$C$25*(1+E23)</f>
        <v>36.8</v>
      </c>
      <c r="M23" s="28" t="n">
        <f aca="false">I23*Вводные!$C$39</f>
        <v>34.4</v>
      </c>
      <c r="N23" s="35" t="n">
        <f aca="false">I23-J23-K23-L23-M23</f>
        <v>152.5</v>
      </c>
      <c r="O23" s="28" t="n">
        <f aca="false">ROUND(N23-База!$C$28,9)</f>
        <v>-40</v>
      </c>
      <c r="P23" s="48" t="n">
        <f aca="false">O23/База!$C$28</f>
        <v>-0.207792207792208</v>
      </c>
      <c r="Q23" s="23" t="n">
        <f aca="false">N23/I23</f>
        <v>0.190625</v>
      </c>
      <c r="R23" s="36" t="str">
        <f aca="false">IF(AND(C23&lt;&gt;0,F23=0,G23=0,H23=0),P23/C23,"–")</f>
        <v>–</v>
      </c>
      <c r="S23" s="16" t="s">
        <v>193</v>
      </c>
    </row>
    <row r="24" customFormat="false" ht="15" hidden="false" customHeight="false" outlineLevel="0" collapsed="false">
      <c r="B24" s="13" t="str">
        <f aca="false">"Взносы 12,25% начисляются сверху на ФОТ"</f>
        <v>Взносы 12,25% начисляются сверху на ФОТ</v>
      </c>
      <c r="C24" s="46" t="n">
        <v>0</v>
      </c>
      <c r="D24" s="47" t="n">
        <f aca="false">C24</f>
        <v>0</v>
      </c>
      <c r="E24" s="47" t="n">
        <f aca="false">C24</f>
        <v>0</v>
      </c>
      <c r="F24" s="46" t="n">
        <v>0</v>
      </c>
      <c r="G24" s="46" t="n">
        <v>0</v>
      </c>
      <c r="H24" s="28" t="n">
        <f aca="false">Вводные!$C$22*Вводные!$C$23-(Вводные!$C$19-Вводные!$C$22)</f>
        <v>9.95</v>
      </c>
      <c r="I24" s="28" t="n">
        <f aca="false">База!$C$18*(1+C24)</f>
        <v>800</v>
      </c>
      <c r="J24" s="28" t="n">
        <f aca="false">База!$C$23+Вводные!$C$18*F24+Вводные!$C$20*G24+H24</f>
        <v>528.75</v>
      </c>
      <c r="K24" s="28" t="n">
        <f aca="false">База!$C$24*(1+D24)</f>
        <v>17.5</v>
      </c>
      <c r="L24" s="28" t="n">
        <f aca="false">База!$C$25*(1+E24)</f>
        <v>36.8</v>
      </c>
      <c r="M24" s="28" t="n">
        <f aca="false">I24*Вводные!$C$39</f>
        <v>34.4</v>
      </c>
      <c r="N24" s="35" t="n">
        <f aca="false">I24-J24-K24-L24-M24</f>
        <v>182.55</v>
      </c>
      <c r="O24" s="28" t="n">
        <f aca="false">ROUND(N24-База!$C$28,9)</f>
        <v>-9.95</v>
      </c>
      <c r="P24" s="48" t="n">
        <f aca="false">O24/База!$C$28</f>
        <v>-0.0516883116883117</v>
      </c>
      <c r="Q24" s="23" t="n">
        <f aca="false">N24/I24</f>
        <v>0.2281875</v>
      </c>
      <c r="R24" s="36" t="str">
        <f aca="false">IF(AND(C24&lt;&gt;0,F24=0,G24=0,H24=0),P24/C24,"–")</f>
        <v>–</v>
      </c>
      <c r="S24" s="16" t="s">
        <v>194</v>
      </c>
    </row>
    <row r="25" customFormat="false" ht="15" hidden="false" customHeight="false" outlineLevel="0" collapsed="false">
      <c r="B25" s="13" t="str">
        <f aca="false">"Комбинированный: выручка −"&amp;TEXT(Стресс_тесты!$C$6,"0%")&amp;" и аренда +"&amp;TEXT(Стресс_тесты!$C$9,"0%")</f>
        <v>Комбинированный: выручка −10% и аренда +10%</v>
      </c>
      <c r="C25" s="47" t="n">
        <f aca="false">-Стресс_тесты!$C$6</f>
        <v>-0.1</v>
      </c>
      <c r="D25" s="47" t="n">
        <f aca="false">C25</f>
        <v>-0.1</v>
      </c>
      <c r="E25" s="47" t="n">
        <f aca="false">C25</f>
        <v>-0.1</v>
      </c>
      <c r="F25" s="47" t="n">
        <f aca="false">Стресс_тесты!$C$9</f>
        <v>0.1</v>
      </c>
      <c r="G25" s="46" t="n">
        <v>0</v>
      </c>
      <c r="H25" s="19" t="n">
        <v>0</v>
      </c>
      <c r="I25" s="28" t="n">
        <f aca="false">База!$C$18*(1+C25)</f>
        <v>720</v>
      </c>
      <c r="J25" s="28" t="n">
        <f aca="false">База!$C$23+Вводные!$C$18*F25+Вводные!$C$20*G25+H25</f>
        <v>553.8</v>
      </c>
      <c r="K25" s="28" t="n">
        <f aca="false">База!$C$24*(1+D25)</f>
        <v>15.75</v>
      </c>
      <c r="L25" s="28" t="n">
        <f aca="false">База!$C$25*(1+E25)</f>
        <v>33.12</v>
      </c>
      <c r="M25" s="28" t="n">
        <f aca="false">I25*Вводные!$C$39</f>
        <v>30.96</v>
      </c>
      <c r="N25" s="35" t="n">
        <f aca="false">I25-J25-K25-L25-M25</f>
        <v>86.37</v>
      </c>
      <c r="O25" s="28" t="n">
        <f aca="false">ROUND(N25-База!$C$28,9)</f>
        <v>-106.13</v>
      </c>
      <c r="P25" s="48" t="n">
        <f aca="false">O25/База!$C$28</f>
        <v>-0.551324675324675</v>
      </c>
      <c r="Q25" s="23" t="n">
        <f aca="false">N25/I25</f>
        <v>0.119958333333333</v>
      </c>
      <c r="R25" s="36" t="str">
        <f aca="false">IF(AND(C25&lt;&gt;0,F25=0,G25=0,H25=0),P25/C25,"–")</f>
        <v>–</v>
      </c>
      <c r="S25" s="16" t="s">
        <v>195</v>
      </c>
    </row>
    <row r="27" customFormat="false" ht="15" hidden="false" customHeight="false" outlineLevel="0" collapsed="false">
      <c r="B27" s="5" t="s">
        <v>196</v>
      </c>
    </row>
    <row r="28" customFormat="false" ht="15" hidden="false" customHeight="false" outlineLevel="0" collapsed="false">
      <c r="B28" s="3" t="s">
        <v>197</v>
      </c>
      <c r="C28" s="49" t="n">
        <f aca="false">-Карта!$C$16</f>
        <v>0.270631238577253</v>
      </c>
      <c r="D28" s="5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A70"/>
    <pageSetUpPr fitToPage="true"/>
  </sheetPr>
  <dimension ref="B1:L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3"/>
    <col collapsed="false" customWidth="true" hidden="false" outlineLevel="0" max="12" min="8" style="0" width="14"/>
  </cols>
  <sheetData>
    <row r="1" customFormat="false" ht="24" hidden="false" customHeight="true" outlineLevel="0" collapsed="false">
      <c r="B1" s="1" t="s">
        <v>199</v>
      </c>
    </row>
    <row r="2" customFormat="false" ht="15" hidden="false" customHeight="false" outlineLevel="0" collapsed="false">
      <c r="B2" s="2" t="s">
        <v>200</v>
      </c>
    </row>
    <row r="4" customFormat="false" ht="15" hidden="false" customHeight="false" outlineLevel="0" collapsed="false">
      <c r="B4" s="11" t="s">
        <v>201</v>
      </c>
      <c r="C4" s="12"/>
      <c r="D4" s="12"/>
      <c r="E4" s="12"/>
      <c r="F4" s="12"/>
    </row>
    <row r="5" customFormat="false" ht="30" hidden="false" customHeight="true" outlineLevel="0" collapsed="false">
      <c r="B5" s="25" t="s">
        <v>202</v>
      </c>
      <c r="C5" s="26" t="s">
        <v>10</v>
      </c>
      <c r="D5" s="26" t="s">
        <v>203</v>
      </c>
      <c r="E5" s="26" t="s">
        <v>204</v>
      </c>
      <c r="F5" s="26" t="s">
        <v>205</v>
      </c>
    </row>
    <row r="6" customFormat="false" ht="15" hidden="false" customHeight="false" outlineLevel="0" collapsed="false">
      <c r="B6" s="13" t="s">
        <v>206</v>
      </c>
      <c r="C6" s="15" t="s">
        <v>23</v>
      </c>
      <c r="D6" s="24" t="n">
        <v>0.04</v>
      </c>
      <c r="E6" s="24" t="n">
        <v>0.08</v>
      </c>
      <c r="F6" s="24" t="n">
        <v>0.08</v>
      </c>
    </row>
    <row r="7" customFormat="false" ht="15" hidden="false" customHeight="false" outlineLevel="0" collapsed="false">
      <c r="B7" s="13" t="s">
        <v>207</v>
      </c>
      <c r="C7" s="15" t="s">
        <v>23</v>
      </c>
      <c r="D7" s="24" t="n">
        <v>0.03</v>
      </c>
      <c r="E7" s="24" t="n">
        <v>0.02</v>
      </c>
      <c r="F7" s="24" t="n">
        <v>0.02</v>
      </c>
    </row>
    <row r="8" customFormat="false" ht="15" hidden="false" customHeight="false" outlineLevel="0" collapsed="false">
      <c r="B8" s="13" t="s">
        <v>208</v>
      </c>
      <c r="C8" s="15" t="s">
        <v>209</v>
      </c>
      <c r="D8" s="50" t="n">
        <v>2</v>
      </c>
      <c r="E8" s="50" t="n">
        <v>4</v>
      </c>
      <c r="F8" s="50" t="n">
        <v>4</v>
      </c>
    </row>
    <row r="9" customFormat="false" ht="15" hidden="false" customHeight="false" outlineLevel="0" collapsed="false">
      <c r="B9" s="13" t="s">
        <v>210</v>
      </c>
      <c r="C9" s="15" t="s">
        <v>23</v>
      </c>
      <c r="D9" s="24" t="n">
        <v>0.05</v>
      </c>
      <c r="E9" s="24" t="n">
        <v>0.1</v>
      </c>
      <c r="F9" s="24" t="n">
        <v>0.1</v>
      </c>
    </row>
    <row r="10" customFormat="false" ht="15" hidden="false" customHeight="false" outlineLevel="0" collapsed="false">
      <c r="B10" s="13" t="s">
        <v>211</v>
      </c>
      <c r="C10" s="15" t="s">
        <v>212</v>
      </c>
      <c r="D10" s="51" t="n">
        <v>0</v>
      </c>
      <c r="E10" s="51" t="n">
        <v>0</v>
      </c>
      <c r="F10" s="51" t="n">
        <v>1</v>
      </c>
    </row>
    <row r="12" customFormat="false" ht="15" hidden="false" customHeight="false" outlineLevel="0" collapsed="false">
      <c r="B12" s="11" t="s">
        <v>213</v>
      </c>
      <c r="C12" s="12"/>
      <c r="D12" s="12"/>
      <c r="E12" s="12"/>
      <c r="F12" s="12"/>
    </row>
    <row r="13" customFormat="false" ht="30" hidden="false" customHeight="true" outlineLevel="0" collapsed="false">
      <c r="B13" s="25" t="s">
        <v>8</v>
      </c>
      <c r="C13" s="26" t="s">
        <v>10</v>
      </c>
      <c r="D13" s="26" t="s">
        <v>9</v>
      </c>
    </row>
    <row r="14" customFormat="false" ht="15" hidden="false" customHeight="false" outlineLevel="0" collapsed="false">
      <c r="B14" s="13" t="s">
        <v>214</v>
      </c>
      <c r="C14" s="15" t="s">
        <v>23</v>
      </c>
      <c r="D14" s="24" t="n">
        <v>0.04</v>
      </c>
    </row>
    <row r="15" customFormat="false" ht="15" hidden="false" customHeight="false" outlineLevel="0" collapsed="false">
      <c r="B15" s="13" t="s">
        <v>215</v>
      </c>
      <c r="C15" s="15" t="s">
        <v>23</v>
      </c>
      <c r="D15" s="24" t="n">
        <v>0.9</v>
      </c>
    </row>
    <row r="16" customFormat="false" ht="15" hidden="false" customHeight="false" outlineLevel="0" collapsed="false">
      <c r="B16" s="13" t="s">
        <v>216</v>
      </c>
      <c r="C16" s="15" t="s">
        <v>23</v>
      </c>
      <c r="D16" s="24" t="n">
        <v>0.01</v>
      </c>
    </row>
    <row r="17" customFormat="false" ht="15" hidden="false" customHeight="false" outlineLevel="0" collapsed="false">
      <c r="B17" s="13" t="s">
        <v>217</v>
      </c>
      <c r="C17" s="15" t="s">
        <v>218</v>
      </c>
      <c r="D17" s="20" t="n">
        <v>20</v>
      </c>
    </row>
    <row r="18" customFormat="false" ht="15" hidden="false" customHeight="false" outlineLevel="0" collapsed="false">
      <c r="B18" s="13" t="s">
        <v>219</v>
      </c>
      <c r="C18" s="15" t="s">
        <v>218</v>
      </c>
      <c r="D18" s="20" t="n">
        <v>120</v>
      </c>
    </row>
    <row r="19" customFormat="false" ht="15" hidden="false" customHeight="false" outlineLevel="0" collapsed="false">
      <c r="B19" s="13" t="s">
        <v>220</v>
      </c>
      <c r="C19" s="15" t="s">
        <v>218</v>
      </c>
      <c r="D19" s="20" t="n">
        <v>10</v>
      </c>
    </row>
    <row r="20" customFormat="false" ht="15" hidden="false" customHeight="false" outlineLevel="0" collapsed="false">
      <c r="B20" s="13" t="s">
        <v>221</v>
      </c>
      <c r="C20" s="15" t="s">
        <v>218</v>
      </c>
      <c r="D20" s="20" t="n">
        <v>30</v>
      </c>
    </row>
    <row r="21" customFormat="false" ht="15" hidden="false" customHeight="false" outlineLevel="0" collapsed="false">
      <c r="B21" s="13" t="s">
        <v>222</v>
      </c>
      <c r="C21" s="15" t="s">
        <v>172</v>
      </c>
      <c r="D21" s="20" t="n">
        <v>3</v>
      </c>
    </row>
    <row r="22" customFormat="false" ht="15" hidden="false" customHeight="false" outlineLevel="0" collapsed="false">
      <c r="B22" s="13" t="s">
        <v>223</v>
      </c>
      <c r="C22" s="15" t="s">
        <v>172</v>
      </c>
      <c r="D22" s="20" t="n">
        <v>5</v>
      </c>
    </row>
    <row r="23" customFormat="false" ht="15" hidden="false" customHeight="false" outlineLevel="0" collapsed="false">
      <c r="B23" s="13" t="s">
        <v>224</v>
      </c>
      <c r="C23" s="15" t="s">
        <v>23</v>
      </c>
      <c r="D23" s="24" t="n">
        <v>0.05</v>
      </c>
    </row>
    <row r="24" customFormat="false" ht="15" hidden="false" customHeight="false" outlineLevel="0" collapsed="false">
      <c r="B24" s="13" t="s">
        <v>225</v>
      </c>
      <c r="C24" s="15" t="s">
        <v>23</v>
      </c>
      <c r="D24" s="24" t="n">
        <v>0.1</v>
      </c>
    </row>
    <row r="25" customFormat="false" ht="15" hidden="false" customHeight="false" outlineLevel="0" collapsed="false">
      <c r="B25" s="13" t="s">
        <v>226</v>
      </c>
      <c r="C25" s="15" t="s">
        <v>227</v>
      </c>
      <c r="D25" s="51" t="n">
        <v>36</v>
      </c>
    </row>
    <row r="26" customFormat="false" ht="15" hidden="false" customHeight="false" outlineLevel="0" collapsed="false">
      <c r="B26" s="13" t="s">
        <v>228</v>
      </c>
      <c r="C26" s="15" t="s">
        <v>172</v>
      </c>
      <c r="D26" s="28" t="n">
        <f aca="false">База!$C$18*Вводные!$C$31</f>
        <v>184</v>
      </c>
    </row>
    <row r="27" customFormat="false" ht="15" hidden="false" customHeight="false" outlineLevel="0" collapsed="false">
      <c r="B27" s="13" t="s">
        <v>229</v>
      </c>
      <c r="C27" s="15" t="s">
        <v>172</v>
      </c>
      <c r="D27" s="28" t="n">
        <f aca="false">База!$C$18*Вводные!$C$32</f>
        <v>616</v>
      </c>
    </row>
    <row r="28" customFormat="false" ht="15" hidden="false" customHeight="false" outlineLevel="0" collapsed="false">
      <c r="B28" s="13" t="s">
        <v>230</v>
      </c>
      <c r="C28" s="15" t="s">
        <v>26</v>
      </c>
      <c r="D28" s="33" t="n">
        <f aca="false">Вводные!$C$33*База!$C$13</f>
        <v>804.430195278345</v>
      </c>
    </row>
    <row r="29" customFormat="false" ht="15" hidden="false" customHeight="false" outlineLevel="0" collapsed="false">
      <c r="B29" s="13" t="s">
        <v>231</v>
      </c>
      <c r="C29" s="15" t="s">
        <v>218</v>
      </c>
      <c r="D29" s="28" t="n">
        <f aca="false">Мост_прибыли!$D$17+Мост_прибыли!$D$18+Мост_прибыли!$D$19+Мост_прибыли!$D$20</f>
        <v>180</v>
      </c>
    </row>
    <row r="31" customFormat="false" ht="15" hidden="false" customHeight="false" outlineLevel="0" collapsed="false">
      <c r="B31" s="11" t="s">
        <v>232</v>
      </c>
      <c r="C31" s="12"/>
      <c r="D31" s="12"/>
      <c r="E31" s="12"/>
      <c r="F31" s="12"/>
    </row>
    <row r="32" customFormat="false" ht="30" hidden="false" customHeight="true" outlineLevel="0" collapsed="false">
      <c r="B32" s="25" t="s">
        <v>233</v>
      </c>
      <c r="C32" s="26" t="s">
        <v>10</v>
      </c>
      <c r="D32" s="26" t="s">
        <v>203</v>
      </c>
      <c r="E32" s="26" t="s">
        <v>204</v>
      </c>
      <c r="F32" s="26" t="s">
        <v>205</v>
      </c>
    </row>
    <row r="33" customFormat="false" ht="15" hidden="false" customHeight="false" outlineLevel="0" collapsed="false">
      <c r="B33" s="13" t="s">
        <v>234</v>
      </c>
      <c r="C33" s="15" t="s">
        <v>23</v>
      </c>
      <c r="D33" s="52" t="n">
        <f aca="false">(1+D$6)*(1-D$7)-1</f>
        <v>0.00879999999999992</v>
      </c>
      <c r="E33" s="52" t="n">
        <f aca="false">(1+E$6)*(1-E$7)-1</f>
        <v>0.0584</v>
      </c>
      <c r="F33" s="52" t="n">
        <f aca="false">(1+F$6)*(1-F$7)-1</f>
        <v>0.0584</v>
      </c>
      <c r="H33" s="5" t="s">
        <v>235</v>
      </c>
    </row>
    <row r="34" customFormat="false" ht="15" hidden="false" customHeight="false" outlineLevel="0" collapsed="false">
      <c r="B34" s="13" t="s">
        <v>236</v>
      </c>
      <c r="C34" s="15" t="s">
        <v>172</v>
      </c>
      <c r="D34" s="28" t="n">
        <f aca="false">Мост_прибыли!$D$26*D33-База!$C$25*D33+База!$C$24*Вводные!$C$31*D$7</f>
        <v>1.41610999999999</v>
      </c>
      <c r="E34" s="28" t="n">
        <f aca="false">Мост_прибыли!$D$26*E33-База!$C$25*E33+База!$C$24*Вводные!$C$31*E$7</f>
        <v>8.67698</v>
      </c>
      <c r="F34" s="28" t="n">
        <f aca="false">Мост_прибыли!$D$26*F33-База!$C$25*F33+База!$C$24*Вводные!$C$31*F$7</f>
        <v>8.67698</v>
      </c>
      <c r="H34" s="5" t="s">
        <v>237</v>
      </c>
    </row>
    <row r="35" customFormat="false" ht="15" hidden="false" customHeight="false" outlineLevel="0" collapsed="false">
      <c r="B35" s="13" t="s">
        <v>238</v>
      </c>
      <c r="C35" s="15" t="s">
        <v>172</v>
      </c>
      <c r="D35" s="28" t="n">
        <f aca="false">D$8/100*База!$C$6*Мост_прибыли!$D$28/1000</f>
        <v>3.91489361702128</v>
      </c>
      <c r="E35" s="28" t="n">
        <f aca="false">E$8/100*База!$C$6*Мост_прибыли!$D$28/1000</f>
        <v>7.82978723404256</v>
      </c>
      <c r="F35" s="28" t="n">
        <f aca="false">F$8/100*База!$C$6*Мост_прибыли!$D$28/1000</f>
        <v>7.82978723404256</v>
      </c>
      <c r="H35" s="5" t="s">
        <v>239</v>
      </c>
    </row>
    <row r="36" customFormat="false" ht="15" hidden="false" customHeight="false" outlineLevel="0" collapsed="false">
      <c r="B36" s="13" t="s">
        <v>240</v>
      </c>
      <c r="C36" s="15" t="s">
        <v>172</v>
      </c>
      <c r="D36" s="28" t="n">
        <f aca="false">Вводные!$C$20*D$9</f>
        <v>3</v>
      </c>
      <c r="E36" s="28" t="n">
        <f aca="false">Вводные!$C$20*E$9</f>
        <v>6</v>
      </c>
      <c r="F36" s="28" t="n">
        <f aca="false">Вводные!$C$20*F$9</f>
        <v>6</v>
      </c>
      <c r="H36" s="5" t="s">
        <v>241</v>
      </c>
    </row>
    <row r="37" customFormat="false" ht="15" hidden="false" customHeight="false" outlineLevel="0" collapsed="false">
      <c r="B37" s="13" t="s">
        <v>242</v>
      </c>
      <c r="C37" s="15" t="s">
        <v>172</v>
      </c>
      <c r="D37" s="28" t="n">
        <f aca="false">-Мост_прибыли!$D$21</f>
        <v>-3</v>
      </c>
      <c r="E37" s="28" t="n">
        <f aca="false">-Мост_прибыли!$D$21</f>
        <v>-3</v>
      </c>
      <c r="F37" s="28" t="n">
        <f aca="false">-Мост_прибыли!$D$21</f>
        <v>-3</v>
      </c>
      <c r="H37" s="5" t="s">
        <v>243</v>
      </c>
    </row>
    <row r="38" customFormat="false" ht="15" hidden="false" customHeight="false" outlineLevel="0" collapsed="false">
      <c r="B38" s="13" t="s">
        <v>244</v>
      </c>
      <c r="C38" s="15" t="s">
        <v>172</v>
      </c>
      <c r="D38" s="28" t="n">
        <f aca="false">-Мост_прибыли!$D$22</f>
        <v>-5</v>
      </c>
      <c r="E38" s="28" t="n">
        <f aca="false">-Мост_прибыли!$D$22</f>
        <v>-5</v>
      </c>
      <c r="F38" s="28" t="n">
        <f aca="false">-Мост_прибыли!$D$22</f>
        <v>-5</v>
      </c>
      <c r="H38" s="5" t="s">
        <v>243</v>
      </c>
    </row>
    <row r="39" customFormat="false" ht="15" hidden="false" customHeight="false" outlineLevel="0" collapsed="false">
      <c r="B39" s="13" t="s">
        <v>245</v>
      </c>
      <c r="C39" s="15" t="s">
        <v>172</v>
      </c>
      <c r="D39" s="28" t="n">
        <f aca="false">D$10*(Мост_прибыли!$D$27*Мост_прибыли!$D$15*Мост_прибыли!$D$14-Мост_прибыли!$D$27*Мост_прибыли!$D$16+База!$C$24*Вводные!$C$32*Мост_прибыли!$D$16)</f>
        <v>0</v>
      </c>
      <c r="E39" s="28" t="n">
        <f aca="false">E$10*(Мост_прибыли!$D$27*Мост_прибыли!$D$15*Мост_прибыли!$D$14-Мост_прибыли!$D$27*Мост_прибыли!$D$16+База!$C$24*Вводные!$C$32*Мост_прибыли!$D$16)</f>
        <v>0</v>
      </c>
      <c r="F39" s="28" t="n">
        <f aca="false">F$10*(Мост_прибыли!$D$27*Мост_прибыли!$D$15*Мост_прибыли!$D$14-Мост_прибыли!$D$27*Мост_прибыли!$D$16+База!$C$24*Вводные!$C$32*Мост_прибыли!$D$16)</f>
        <v>16.15075</v>
      </c>
      <c r="H39" s="5" t="s">
        <v>246</v>
      </c>
    </row>
    <row r="40" customFormat="false" ht="15" hidden="false" customHeight="false" outlineLevel="0" collapsed="false">
      <c r="B40" s="30" t="s">
        <v>247</v>
      </c>
      <c r="C40" s="15" t="s">
        <v>172</v>
      </c>
      <c r="D40" s="34" t="n">
        <f aca="false">SUM(D34:D39)</f>
        <v>0.331003617021265</v>
      </c>
      <c r="E40" s="34" t="n">
        <f aca="false">SUM(E34:E39)</f>
        <v>14.5067672340426</v>
      </c>
      <c r="F40" s="34" t="n">
        <f aca="false">SUM(F34:F39)</f>
        <v>30.6575172340426</v>
      </c>
    </row>
    <row r="41" customFormat="false" ht="15" hidden="false" customHeight="false" outlineLevel="0" collapsed="false">
      <c r="B41" s="13" t="s">
        <v>248</v>
      </c>
      <c r="C41" s="15" t="s">
        <v>172</v>
      </c>
      <c r="D41" s="28" t="n">
        <f aca="false">Мост_прибыли!$D$26*D33+D$10*(Мост_прибыли!$D$27*Мост_прибыли!$D$15*Мост_прибыли!$D$14-Мост_прибыли!$D$27*Мост_прибыли!$D$16)</f>
        <v>1.61919999999999</v>
      </c>
      <c r="E41" s="28" t="n">
        <f aca="false">Мост_прибыли!$D$26*E33+E$10*(Мост_прибыли!$D$27*Мост_прибыли!$D$15*Мост_прибыли!$D$14-Мост_прибыли!$D$27*Мост_прибыли!$D$16)</f>
        <v>10.7456</v>
      </c>
      <c r="F41" s="28" t="n">
        <f aca="false">Мост_прибыли!$D$26*F33+F$10*(Мост_прибыли!$D$27*Мост_прибыли!$D$15*Мост_прибыли!$D$14-Мост_прибыли!$D$27*Мост_прибыли!$D$16)</f>
        <v>26.7616</v>
      </c>
      <c r="H41" s="5" t="s">
        <v>249</v>
      </c>
    </row>
    <row r="42" customFormat="false" ht="15" hidden="false" customHeight="false" outlineLevel="0" collapsed="false">
      <c r="B42" s="13" t="s">
        <v>250</v>
      </c>
      <c r="C42" s="15" t="s">
        <v>172</v>
      </c>
      <c r="D42" s="28" t="n">
        <f aca="false">-D41*Вводные!$C$39</f>
        <v>-0.0696255999999994</v>
      </c>
      <c r="E42" s="28" t="n">
        <f aca="false">-E41*Вводные!$C$39</f>
        <v>-0.4620608</v>
      </c>
      <c r="F42" s="28" t="n">
        <f aca="false">-F41*Вводные!$C$39</f>
        <v>-1.1507488</v>
      </c>
    </row>
    <row r="43" customFormat="false" ht="15" hidden="false" customHeight="false" outlineLevel="0" collapsed="false">
      <c r="B43" s="30" t="s">
        <v>251</v>
      </c>
      <c r="C43" s="15" t="s">
        <v>172</v>
      </c>
      <c r="D43" s="35" t="n">
        <f aca="false">D40+D42</f>
        <v>0.261378017021266</v>
      </c>
      <c r="E43" s="35" t="n">
        <f aca="false">E40+E42</f>
        <v>14.0447064340426</v>
      </c>
      <c r="F43" s="35" t="n">
        <f aca="false">F40+F42</f>
        <v>29.5067684340426</v>
      </c>
    </row>
    <row r="44" customFormat="false" ht="15" hidden="false" customHeight="false" outlineLevel="0" collapsed="false">
      <c r="B44" s="30" t="s">
        <v>252</v>
      </c>
      <c r="C44" s="15" t="s">
        <v>172</v>
      </c>
      <c r="D44" s="34" t="n">
        <f aca="false">База!$C$28+D43</f>
        <v>192.761378017021</v>
      </c>
      <c r="E44" s="34" t="n">
        <f aca="false">База!$C$28+E43</f>
        <v>206.544706434043</v>
      </c>
      <c r="F44" s="34" t="n">
        <f aca="false">База!$C$28+F43</f>
        <v>222.006768434043</v>
      </c>
    </row>
    <row r="45" customFormat="false" ht="15" hidden="false" customHeight="false" outlineLevel="0" collapsed="false">
      <c r="B45" s="13" t="s">
        <v>253</v>
      </c>
      <c r="C45" s="15" t="s">
        <v>23</v>
      </c>
      <c r="D45" s="23" t="n">
        <f aca="false">D43/База!$C$28</f>
        <v>0.00135780788062995</v>
      </c>
      <c r="E45" s="23" t="n">
        <f aca="false">E43/База!$C$28</f>
        <v>0.0729595139430782</v>
      </c>
      <c r="F45" s="23" t="n">
        <f aca="false">F43/База!$C$28</f>
        <v>0.153281913943078</v>
      </c>
    </row>
    <row r="46" customFormat="false" ht="15" hidden="false" customHeight="false" outlineLevel="0" collapsed="false">
      <c r="B46" s="13" t="s">
        <v>254</v>
      </c>
      <c r="C46" s="15" t="s">
        <v>218</v>
      </c>
      <c r="D46" s="28" t="n">
        <f aca="false">Мост_прибыли!$D$29</f>
        <v>180</v>
      </c>
      <c r="E46" s="28" t="n">
        <f aca="false">Мост_прибыли!$D$29</f>
        <v>180</v>
      </c>
      <c r="F46" s="28" t="n">
        <f aca="false">Мост_прибыли!$D$29</f>
        <v>180</v>
      </c>
      <c r="H46" s="5" t="s">
        <v>255</v>
      </c>
    </row>
    <row r="47" customFormat="false" ht="15" hidden="false" customHeight="false" outlineLevel="0" collapsed="false">
      <c r="B47" s="30" t="s">
        <v>256</v>
      </c>
      <c r="C47" s="15" t="s">
        <v>227</v>
      </c>
      <c r="D47" s="53" t="str">
        <f aca="false">IF(D43*Мост_прибыли!$D$25&gt;=D46,D46/D43,"не достигается")</f>
        <v>не достигается</v>
      </c>
      <c r="E47" s="53" t="n">
        <f aca="false">IF(E43*Мост_прибыли!$D$25&gt;=E46,E46/E43,"не достигается")</f>
        <v>12.8162166183626</v>
      </c>
      <c r="F47" s="53" t="n">
        <f aca="false">IF(F43*Мост_прибыли!$D$25&gt;=F46,F46/F43,"не достигается")</f>
        <v>6.10029527301032</v>
      </c>
      <c r="H47" s="5" t="s">
        <v>257</v>
      </c>
    </row>
    <row r="48" customFormat="false" ht="15" hidden="false" customHeight="false" outlineLevel="0" collapsed="false">
      <c r="B48" s="13" t="s">
        <v>258</v>
      </c>
      <c r="C48" s="15" t="s">
        <v>218</v>
      </c>
      <c r="D48" s="28" t="n">
        <f aca="false">D43*Мост_прибыли!$D$25-D46</f>
        <v>-170.590391387234</v>
      </c>
      <c r="E48" s="28" t="n">
        <f aca="false">E43*Мост_прибыли!$D$25-E46</f>
        <v>325.609431625532</v>
      </c>
      <c r="F48" s="28" t="n">
        <f aca="false">F43*Мост_прибыли!$D$25-F46</f>
        <v>882.243663625532</v>
      </c>
      <c r="H48" s="5" t="s">
        <v>259</v>
      </c>
    </row>
    <row r="50" customFormat="false" ht="15" hidden="false" customHeight="false" outlineLevel="0" collapsed="false">
      <c r="B50" s="11" t="s">
        <v>260</v>
      </c>
      <c r="C50" s="12"/>
      <c r="D50" s="12"/>
      <c r="E50" s="12"/>
      <c r="F50" s="12"/>
    </row>
    <row r="51" customFormat="false" ht="30" hidden="false" customHeight="true" outlineLevel="0" collapsed="false">
      <c r="B51" s="25" t="s">
        <v>78</v>
      </c>
      <c r="C51" s="26" t="s">
        <v>10</v>
      </c>
      <c r="D51" s="26" t="s">
        <v>261</v>
      </c>
      <c r="E51" s="26" t="s">
        <v>262</v>
      </c>
    </row>
    <row r="52" customFormat="false" ht="15" hidden="false" customHeight="false" outlineLevel="0" collapsed="false">
      <c r="B52" s="40" t="s">
        <v>263</v>
      </c>
      <c r="C52" s="15" t="s">
        <v>172</v>
      </c>
      <c r="D52" s="28" t="n">
        <f aca="false">Вводные!$C$18*Мост_прибыли!$D$23</f>
        <v>17.5</v>
      </c>
      <c r="E52" s="28" t="n">
        <f aca="false">Вводные!$C$18*Мост_прибыли!$D$24</f>
        <v>35</v>
      </c>
    </row>
    <row r="53" customFormat="false" ht="15" hidden="false" customHeight="false" outlineLevel="0" collapsed="false">
      <c r="B53" s="40" t="s">
        <v>264</v>
      </c>
      <c r="C53" s="15" t="s">
        <v>218</v>
      </c>
      <c r="D53" s="28" t="n">
        <f aca="false">Мост_прибыли!$D$52*Мост_прибыли!$D$25</f>
        <v>630</v>
      </c>
      <c r="E53" s="28" t="n">
        <f aca="false">Мост_прибыли!$E$52*Мост_прибыли!$D$25</f>
        <v>1260</v>
      </c>
    </row>
    <row r="54" customFormat="false" ht="23.85" hidden="false" customHeight="false" outlineLevel="0" collapsed="false">
      <c r="B54" s="13" t="s">
        <v>265</v>
      </c>
      <c r="C54" s="15" t="s">
        <v>23</v>
      </c>
      <c r="D54" s="54" t="n">
        <f aca="false">Мост_прибыли!$D$27*Мост_прибыли!$D$15*Мост_прибыли!$D$14/(Мост_прибыли!$D$27-База!$C$24*Вводные!$C$32)</f>
        <v>0.0368051118210863</v>
      </c>
      <c r="E54" s="5" t="s">
        <v>266</v>
      </c>
    </row>
    <row r="56" customFormat="false" ht="15" hidden="false" customHeight="false" outlineLevel="0" collapsed="false">
      <c r="B56" s="11" t="s">
        <v>267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customFormat="false" ht="30" hidden="false" customHeight="true" outlineLevel="0" collapsed="false">
      <c r="B57" s="25" t="s">
        <v>268</v>
      </c>
      <c r="C57" s="26" t="s">
        <v>269</v>
      </c>
      <c r="D57" s="26" t="s">
        <v>9</v>
      </c>
      <c r="E57" s="26" t="s">
        <v>270</v>
      </c>
      <c r="H57" s="10" t="s">
        <v>271</v>
      </c>
      <c r="I57" s="10" t="s">
        <v>272</v>
      </c>
      <c r="J57" s="10" t="s">
        <v>273</v>
      </c>
      <c r="K57" s="10" t="s">
        <v>274</v>
      </c>
    </row>
    <row r="58" customFormat="false" ht="15" hidden="false" customHeight="false" outlineLevel="0" collapsed="false">
      <c r="B58" s="30" t="s">
        <v>275</v>
      </c>
      <c r="C58" s="15" t="s">
        <v>276</v>
      </c>
      <c r="D58" s="35" t="n">
        <f aca="false">База!$C$28</f>
        <v>192.5</v>
      </c>
      <c r="E58" s="28" t="n">
        <f aca="false">D58</f>
        <v>192.5</v>
      </c>
      <c r="H58" s="28" t="n">
        <f aca="false">0</f>
        <v>0</v>
      </c>
      <c r="I58" s="28" t="n">
        <f aca="false">IF(C58="шаг",MAX(D58,0),0)</f>
        <v>0</v>
      </c>
      <c r="J58" s="28" t="n">
        <f aca="false">IF(C58="шаг",MAX(-D58,0),0)</f>
        <v>0</v>
      </c>
      <c r="K58" s="28" t="n">
        <f aca="false">IF(C58="итог",D58,0)</f>
        <v>192.5</v>
      </c>
    </row>
    <row r="59" customFormat="false" ht="15" hidden="false" customHeight="false" outlineLevel="0" collapsed="false">
      <c r="B59" s="13" t="s">
        <v>277</v>
      </c>
      <c r="C59" s="15" t="s">
        <v>278</v>
      </c>
      <c r="D59" s="28" t="n">
        <f aca="false">E34</f>
        <v>8.67698</v>
      </c>
      <c r="E59" s="28" t="n">
        <f aca="false">E58+D59</f>
        <v>201.17698</v>
      </c>
      <c r="H59" s="28" t="n">
        <f aca="false">IF(C59="итог",0,MIN(E58,E59))</f>
        <v>192.5</v>
      </c>
      <c r="I59" s="28" t="n">
        <f aca="false">IF(C59="шаг",MAX(D59,0),0)</f>
        <v>8.67698</v>
      </c>
      <c r="J59" s="28" t="n">
        <f aca="false">IF(C59="шаг",MAX(-D59,0),0)</f>
        <v>0</v>
      </c>
      <c r="K59" s="28" t="n">
        <f aca="false">IF(C59="итог",D59,0)</f>
        <v>0</v>
      </c>
    </row>
    <row r="60" customFormat="false" ht="15" hidden="false" customHeight="false" outlineLevel="0" collapsed="false">
      <c r="B60" s="13" t="s">
        <v>279</v>
      </c>
      <c r="C60" s="15" t="s">
        <v>278</v>
      </c>
      <c r="D60" s="28" t="n">
        <f aca="false">E35</f>
        <v>7.82978723404256</v>
      </c>
      <c r="E60" s="28" t="n">
        <f aca="false">E59+D60</f>
        <v>209.006767234043</v>
      </c>
      <c r="H60" s="28" t="n">
        <f aca="false">IF(C60="итог",0,MIN(E59,E60))</f>
        <v>201.17698</v>
      </c>
      <c r="I60" s="28" t="n">
        <f aca="false">IF(C60="шаг",MAX(D60,0),0)</f>
        <v>7.82978723404256</v>
      </c>
      <c r="J60" s="28" t="n">
        <f aca="false">IF(C60="шаг",MAX(-D60,0),0)</f>
        <v>0</v>
      </c>
      <c r="K60" s="28" t="n">
        <f aca="false">IF(C60="итог",D60,0)</f>
        <v>0</v>
      </c>
    </row>
    <row r="61" customFormat="false" ht="15" hidden="false" customHeight="false" outlineLevel="0" collapsed="false">
      <c r="B61" s="13" t="s">
        <v>280</v>
      </c>
      <c r="C61" s="15" t="s">
        <v>278</v>
      </c>
      <c r="D61" s="28" t="n">
        <f aca="false">E36</f>
        <v>6</v>
      </c>
      <c r="E61" s="28" t="n">
        <f aca="false">E60+D61</f>
        <v>215.006767234043</v>
      </c>
      <c r="H61" s="28" t="n">
        <f aca="false">IF(C61="итог",0,MIN(E60,E61))</f>
        <v>209.006767234043</v>
      </c>
      <c r="I61" s="28" t="n">
        <f aca="false">IF(C61="шаг",MAX(D61,0),0)</f>
        <v>6</v>
      </c>
      <c r="J61" s="28" t="n">
        <f aca="false">IF(C61="шаг",MAX(-D61,0),0)</f>
        <v>0</v>
      </c>
      <c r="K61" s="28" t="n">
        <f aca="false">IF(C61="итог",D61,0)</f>
        <v>0</v>
      </c>
    </row>
    <row r="62" customFormat="false" ht="15" hidden="false" customHeight="false" outlineLevel="0" collapsed="false">
      <c r="B62" s="13" t="s">
        <v>281</v>
      </c>
      <c r="C62" s="15" t="s">
        <v>278</v>
      </c>
      <c r="D62" s="28" t="n">
        <f aca="false">E37</f>
        <v>-3</v>
      </c>
      <c r="E62" s="28" t="n">
        <f aca="false">E61+D62</f>
        <v>212.006767234043</v>
      </c>
      <c r="H62" s="28" t="n">
        <f aca="false">IF(C62="итог",0,MIN(E61,E62))</f>
        <v>212.006767234043</v>
      </c>
      <c r="I62" s="28" t="n">
        <f aca="false">IF(C62="шаг",MAX(D62,0),0)</f>
        <v>0</v>
      </c>
      <c r="J62" s="28" t="n">
        <f aca="false">IF(C62="шаг",MAX(-D62,0),0)</f>
        <v>3</v>
      </c>
      <c r="K62" s="28" t="n">
        <f aca="false">IF(C62="итог",D62,0)</f>
        <v>0</v>
      </c>
    </row>
    <row r="63" customFormat="false" ht="15" hidden="false" customHeight="false" outlineLevel="0" collapsed="false">
      <c r="B63" s="13" t="s">
        <v>282</v>
      </c>
      <c r="C63" s="15" t="s">
        <v>278</v>
      </c>
      <c r="D63" s="28" t="n">
        <f aca="false">E38</f>
        <v>-5</v>
      </c>
      <c r="E63" s="28" t="n">
        <f aca="false">E62+D63</f>
        <v>207.006767234043</v>
      </c>
      <c r="H63" s="28" t="n">
        <f aca="false">IF(C63="итог",0,MIN(E62,E63))</f>
        <v>207.006767234043</v>
      </c>
      <c r="I63" s="28" t="n">
        <f aca="false">IF(C63="шаг",MAX(D63,0),0)</f>
        <v>0</v>
      </c>
      <c r="J63" s="28" t="n">
        <f aca="false">IF(C63="шаг",MAX(-D63,0),0)</f>
        <v>5</v>
      </c>
      <c r="K63" s="28" t="n">
        <f aca="false">IF(C63="итог",D63,0)</f>
        <v>0</v>
      </c>
    </row>
    <row r="64" customFormat="false" ht="15" hidden="false" customHeight="false" outlineLevel="0" collapsed="false">
      <c r="B64" s="13" t="s">
        <v>283</v>
      </c>
      <c r="C64" s="15" t="s">
        <v>278</v>
      </c>
      <c r="D64" s="28" t="n">
        <f aca="false">E42</f>
        <v>-0.4620608</v>
      </c>
      <c r="E64" s="28" t="n">
        <f aca="false">E63+D64</f>
        <v>206.544706434043</v>
      </c>
      <c r="H64" s="28" t="n">
        <f aca="false">IF(C64="итог",0,MIN(E63,E64))</f>
        <v>206.544706434043</v>
      </c>
      <c r="I64" s="28" t="n">
        <f aca="false">IF(C64="шаг",MAX(D64,0),0)</f>
        <v>0</v>
      </c>
      <c r="J64" s="28" t="n">
        <f aca="false">IF(C64="шаг",MAX(-D64,0),0)</f>
        <v>0.4620608</v>
      </c>
      <c r="K64" s="28" t="n">
        <f aca="false">IF(C64="итог",D64,0)</f>
        <v>0</v>
      </c>
    </row>
    <row r="65" customFormat="false" ht="15" hidden="false" customHeight="false" outlineLevel="0" collapsed="false">
      <c r="B65" s="30" t="s">
        <v>284</v>
      </c>
      <c r="C65" s="15" t="s">
        <v>276</v>
      </c>
      <c r="D65" s="35" t="n">
        <f aca="false">E44</f>
        <v>206.544706434043</v>
      </c>
      <c r="E65" s="28" t="n">
        <f aca="false">D65</f>
        <v>206.544706434043</v>
      </c>
      <c r="H65" s="28" t="n">
        <f aca="false">IF(C65="итог",0,MIN(E64,E65))</f>
        <v>0</v>
      </c>
      <c r="I65" s="28" t="n">
        <f aca="false">IF(C65="шаг",MAX(D65,0),0)</f>
        <v>0</v>
      </c>
      <c r="J65" s="28" t="n">
        <f aca="false">IF(C65="шаг",MAX(-D65,0),0)</f>
        <v>0</v>
      </c>
      <c r="K65" s="28" t="n">
        <f aca="false">IF(C65="итог",D65,0)</f>
        <v>206.544706434043</v>
      </c>
    </row>
    <row r="66" customFormat="false" ht="15" hidden="false" customHeight="false" outlineLevel="0" collapsed="false">
      <c r="B66" s="13" t="s">
        <v>285</v>
      </c>
      <c r="C66" s="15" t="s">
        <v>278</v>
      </c>
      <c r="D66" s="28" t="n">
        <f aca="false">F39</f>
        <v>16.15075</v>
      </c>
      <c r="E66" s="28" t="n">
        <f aca="false">E65+D66</f>
        <v>222.695456434043</v>
      </c>
      <c r="H66" s="28" t="n">
        <f aca="false">IF(C66="итог",0,MIN(E65,E66))</f>
        <v>206.544706434043</v>
      </c>
      <c r="I66" s="28" t="n">
        <f aca="false">IF(C66="шаг",MAX(D66,0),0)</f>
        <v>16.15075</v>
      </c>
      <c r="J66" s="28" t="n">
        <f aca="false">IF(C66="шаг",MAX(-D66,0),0)</f>
        <v>0</v>
      </c>
      <c r="K66" s="28" t="n">
        <f aca="false">IF(C66="итог",D66,0)</f>
        <v>0</v>
      </c>
    </row>
    <row r="67" customFormat="false" ht="15" hidden="false" customHeight="false" outlineLevel="0" collapsed="false">
      <c r="B67" s="13" t="s">
        <v>286</v>
      </c>
      <c r="C67" s="15" t="s">
        <v>278</v>
      </c>
      <c r="D67" s="28" t="n">
        <f aca="false">F42-E42</f>
        <v>-0.688688</v>
      </c>
      <c r="E67" s="28" t="n">
        <f aca="false">E66+D67</f>
        <v>222.006768434043</v>
      </c>
      <c r="H67" s="28" t="n">
        <f aca="false">IF(C67="итог",0,MIN(E66,E67))</f>
        <v>222.006768434043</v>
      </c>
      <c r="I67" s="28" t="n">
        <f aca="false">IF(C67="шаг",MAX(D67,0),0)</f>
        <v>0</v>
      </c>
      <c r="J67" s="28" t="n">
        <f aca="false">IF(C67="шаг",MAX(-D67,0),0)</f>
        <v>0.688688</v>
      </c>
      <c r="K67" s="28" t="n">
        <f aca="false">IF(C67="итог",D67,0)</f>
        <v>0</v>
      </c>
    </row>
    <row r="68" customFormat="false" ht="15" hidden="false" customHeight="false" outlineLevel="0" collapsed="false">
      <c r="B68" s="30" t="s">
        <v>205</v>
      </c>
      <c r="C68" s="15" t="s">
        <v>276</v>
      </c>
      <c r="D68" s="35" t="n">
        <f aca="false">F44</f>
        <v>222.006768434043</v>
      </c>
      <c r="E68" s="28" t="n">
        <f aca="false">D68</f>
        <v>222.006768434043</v>
      </c>
      <c r="H68" s="28" t="n">
        <f aca="false">IF(C68="итог",0,MIN(E67,E68))</f>
        <v>0</v>
      </c>
      <c r="I68" s="28" t="n">
        <f aca="false">IF(C68="шаг",MAX(D68,0),0)</f>
        <v>0</v>
      </c>
      <c r="J68" s="28" t="n">
        <f aca="false">IF(C68="шаг",MAX(-D68,0),0)</f>
        <v>0</v>
      </c>
      <c r="K68" s="28" t="n">
        <f aca="false">IF(C68="итог",D68,0)</f>
        <v>222.006768434043</v>
      </c>
    </row>
    <row r="69" customFormat="false" ht="15" hidden="false" customHeight="false" outlineLevel="0" collapsed="false">
      <c r="B69" s="5" t="s">
        <v>287</v>
      </c>
      <c r="D69" s="55" t="str">
        <f aca="false">IF(AND(ABS($E$64-$D$65)&lt;0.000001,ABS($E$67-$D$68)&lt;0.000001),"OK","ПРОВЕРИТЬ")</f>
        <v>OK</v>
      </c>
    </row>
    <row r="70" customFormat="false" ht="15" hidden="false" customHeight="false" outlineLevel="0" collapsed="false">
      <c r="B70" s="5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D47"/>
    <pageSetUpPr fitToPage="true"/>
  </sheetPr>
  <dimension ref="B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9" min="3" style="0" width="14"/>
    <col collapsed="false" customWidth="true" hidden="false" outlineLevel="0" max="10" min="10" style="0" width="4"/>
    <col collapsed="false" customWidth="true" hidden="false" outlineLevel="0" max="11" min="11" style="0" width="40"/>
  </cols>
  <sheetData>
    <row r="1" customFormat="false" ht="24" hidden="false" customHeight="true" outlineLevel="0" collapsed="false">
      <c r="B1" s="1" t="s">
        <v>289</v>
      </c>
    </row>
    <row r="2" customFormat="false" ht="15" hidden="false" customHeight="false" outlineLevel="0" collapsed="false">
      <c r="B2" s="2" t="s">
        <v>290</v>
      </c>
    </row>
    <row r="4" customFormat="false" ht="15" hidden="false" customHeight="false" outlineLevel="0" collapsed="false">
      <c r="B4" s="11" t="s">
        <v>291</v>
      </c>
      <c r="C4" s="12"/>
      <c r="D4" s="12"/>
      <c r="E4" s="12"/>
      <c r="F4" s="12"/>
      <c r="G4" s="12"/>
      <c r="H4" s="12"/>
      <c r="I4" s="12"/>
    </row>
    <row r="5" customFormat="false" ht="30" hidden="false" customHeight="true" outlineLevel="0" collapsed="false">
      <c r="B5" s="25" t="s">
        <v>78</v>
      </c>
      <c r="C5" s="26" t="s">
        <v>9</v>
      </c>
      <c r="D5" s="26" t="s">
        <v>10</v>
      </c>
      <c r="E5" s="56" t="s">
        <v>79</v>
      </c>
      <c r="F5" s="56"/>
      <c r="G5" s="56"/>
      <c r="H5" s="56"/>
      <c r="I5" s="56"/>
    </row>
    <row r="6" customFormat="false" ht="15" hidden="false" customHeight="true" outlineLevel="0" collapsed="false">
      <c r="B6" s="13" t="s">
        <v>292</v>
      </c>
      <c r="C6" s="28" t="n">
        <f aca="false">База!$C$18*0.01*(1-Вводные!$C$40)</f>
        <v>7.288</v>
      </c>
      <c r="D6" s="15" t="s">
        <v>172</v>
      </c>
      <c r="E6" s="16" t="s">
        <v>293</v>
      </c>
      <c r="F6" s="16"/>
      <c r="G6" s="16"/>
      <c r="H6" s="16"/>
      <c r="I6" s="16"/>
    </row>
    <row r="7" customFormat="false" ht="15" hidden="false" customHeight="true" outlineLevel="0" collapsed="false">
      <c r="B7" s="13" t="s">
        <v>294</v>
      </c>
      <c r="C7" s="28" t="n">
        <f aca="false">База!$C$18/(Вводные!$C$14*100)*(1-Вводные!$C$40)-База!$C$24/(Вводные!$C$14*100)</f>
        <v>7.56702127659575</v>
      </c>
      <c r="D7" s="15" t="s">
        <v>172</v>
      </c>
      <c r="E7" s="16" t="s">
        <v>295</v>
      </c>
      <c r="F7" s="16"/>
      <c r="G7" s="16"/>
      <c r="H7" s="16"/>
      <c r="I7" s="16"/>
    </row>
    <row r="8" customFormat="false" ht="15" hidden="false" customHeight="true" outlineLevel="0" collapsed="false">
      <c r="B8" s="13" t="s">
        <v>296</v>
      </c>
      <c r="C8" s="28" t="n">
        <f aca="false">База!$C$18/Вводные!$C$14</f>
        <v>851.063829787234</v>
      </c>
      <c r="D8" s="15" t="s">
        <v>172</v>
      </c>
      <c r="E8" s="16" t="s">
        <v>297</v>
      </c>
      <c r="F8" s="16"/>
      <c r="G8" s="16"/>
      <c r="H8" s="16"/>
      <c r="I8" s="16"/>
    </row>
    <row r="9" customFormat="false" ht="15" hidden="false" customHeight="true" outlineLevel="0" collapsed="false">
      <c r="B9" s="13" t="s">
        <v>298</v>
      </c>
      <c r="C9" s="28" t="n">
        <f aca="false">Вводные!$C$15*База!$C$6/1000</f>
        <v>913.716666666667</v>
      </c>
      <c r="D9" s="15" t="s">
        <v>172</v>
      </c>
      <c r="E9" s="16" t="s">
        <v>299</v>
      </c>
      <c r="F9" s="16"/>
      <c r="G9" s="16"/>
      <c r="H9" s="16"/>
      <c r="I9" s="16"/>
    </row>
    <row r="10" customFormat="false" ht="15" hidden="false" customHeight="true" outlineLevel="0" collapsed="false">
      <c r="B10" s="13" t="s">
        <v>300</v>
      </c>
      <c r="C10" s="28" t="n">
        <f aca="false">База!$C$24/Вводные!$C$14</f>
        <v>18.6170212765957</v>
      </c>
      <c r="D10" s="15" t="s">
        <v>172</v>
      </c>
      <c r="E10" s="16" t="s">
        <v>301</v>
      </c>
      <c r="F10" s="16"/>
      <c r="G10" s="16"/>
      <c r="H10" s="16"/>
      <c r="I10" s="16"/>
    </row>
    <row r="11" customFormat="false" ht="23.85" hidden="false" customHeight="true" outlineLevel="0" collapsed="false">
      <c r="B11" s="30" t="s">
        <v>302</v>
      </c>
      <c r="C11" s="54" t="n">
        <f aca="false">База!$C$23/($C$8*(1-Вводные!$C$40)-$C$10)</f>
        <v>0.685606635737382</v>
      </c>
      <c r="D11" s="15" t="s">
        <v>23</v>
      </c>
      <c r="E11" s="16" t="s">
        <v>303</v>
      </c>
      <c r="F11" s="16"/>
      <c r="G11" s="16"/>
      <c r="H11" s="16"/>
      <c r="I11" s="16"/>
    </row>
    <row r="12" customFormat="false" ht="23.85" hidden="false" customHeight="true" outlineLevel="0" collapsed="false">
      <c r="B12" s="13" t="s">
        <v>304</v>
      </c>
      <c r="C12" s="23" t="n">
        <f aca="false">База!$C$23/($C$9*(1-Вводные!$C$40)-$C$10)</f>
        <v>0.637519631179396</v>
      </c>
      <c r="D12" s="15" t="s">
        <v>23</v>
      </c>
      <c r="E12" s="16" t="s">
        <v>305</v>
      </c>
      <c r="F12" s="16"/>
      <c r="G12" s="16"/>
      <c r="H12" s="16"/>
      <c r="I12" s="16"/>
    </row>
    <row r="13" customFormat="false" ht="15" hidden="false" customHeight="true" outlineLevel="0" collapsed="false">
      <c r="B13" s="13" t="s">
        <v>306</v>
      </c>
      <c r="C13" s="23" t="n">
        <f aca="false">База!$C$23/($C$9*(1-Вводные!$C$34)-$C$10)</f>
        <v>0.608157365215156</v>
      </c>
      <c r="D13" s="15" t="s">
        <v>23</v>
      </c>
      <c r="E13" s="16" t="s">
        <v>307</v>
      </c>
      <c r="F13" s="16"/>
      <c r="G13" s="16"/>
      <c r="H13" s="16"/>
      <c r="I13" s="16"/>
    </row>
    <row r="14" customFormat="false" ht="23.85" hidden="false" customHeight="true" outlineLevel="0" collapsed="false">
      <c r="B14" s="13" t="s">
        <v>308</v>
      </c>
      <c r="C14" s="57" t="n">
        <f aca="false">(Вводные!$C$14-$C$11)*100</f>
        <v>25.4393364262618</v>
      </c>
      <c r="D14" s="15" t="s">
        <v>209</v>
      </c>
      <c r="E14" s="16" t="s">
        <v>309</v>
      </c>
      <c r="F14" s="16"/>
      <c r="G14" s="16"/>
      <c r="H14" s="16"/>
      <c r="I14" s="16"/>
    </row>
    <row r="15" customFormat="false" ht="15" hidden="false" customHeight="false" outlineLevel="0" collapsed="false">
      <c r="B15" s="13" t="s">
        <v>310</v>
      </c>
      <c r="C15" s="57" t="n">
        <f aca="false">(Вводные!$C$14-$C$12)*100</f>
        <v>30.2480368820604</v>
      </c>
      <c r="D15" s="15" t="s">
        <v>209</v>
      </c>
      <c r="E15" s="16"/>
      <c r="F15" s="16"/>
      <c r="G15" s="16"/>
      <c r="H15" s="16"/>
      <c r="I15" s="16"/>
    </row>
    <row r="16" customFormat="false" ht="22.35" hidden="false" customHeight="true" outlineLevel="0" collapsed="false">
      <c r="B16" s="13" t="s">
        <v>311</v>
      </c>
      <c r="C16" s="23" t="n">
        <f aca="false">База!$C$23/(База!$C$18*(1-Вводные!$C$40)-База!$C$24)-1</f>
        <v>-0.270631238577253</v>
      </c>
      <c r="D16" s="15" t="s">
        <v>23</v>
      </c>
      <c r="E16" s="16" t="s">
        <v>312</v>
      </c>
      <c r="F16" s="16"/>
      <c r="G16" s="16"/>
      <c r="H16" s="16"/>
      <c r="I16" s="16"/>
    </row>
    <row r="18" customFormat="false" ht="15" hidden="false" customHeight="false" outlineLevel="0" collapsed="false">
      <c r="B18" s="11" t="s">
        <v>313</v>
      </c>
      <c r="C18" s="12"/>
      <c r="D18" s="12"/>
      <c r="E18" s="12"/>
      <c r="F18" s="12"/>
      <c r="G18" s="12"/>
      <c r="H18" s="12"/>
      <c r="I18" s="12"/>
    </row>
    <row r="19" customFormat="false" ht="15" hidden="false" customHeight="false" outlineLevel="0" collapsed="false">
      <c r="B19" s="5" t="s">
        <v>314</v>
      </c>
    </row>
    <row r="20" customFormat="false" ht="15" hidden="false" customHeight="false" outlineLevel="0" collapsed="false">
      <c r="B20" s="6" t="s">
        <v>315</v>
      </c>
      <c r="C20" s="58" t="n">
        <f aca="false">Вводные!$C$14</f>
        <v>0.94</v>
      </c>
    </row>
    <row r="21" customFormat="false" ht="15" hidden="false" customHeight="false" outlineLevel="0" collapsed="false">
      <c r="B21" s="55" t="s">
        <v>316</v>
      </c>
      <c r="C21" s="59" t="n">
        <v>-0.05</v>
      </c>
      <c r="D21" s="59" t="n">
        <v>-0.025</v>
      </c>
      <c r="E21" s="59" t="n">
        <v>0</v>
      </c>
      <c r="F21" s="59" t="n">
        <v>0.025</v>
      </c>
      <c r="G21" s="59" t="n">
        <v>0.05</v>
      </c>
      <c r="H21" s="59" t="n">
        <v>0.075</v>
      </c>
      <c r="I21" s="59" t="n">
        <v>0.1</v>
      </c>
    </row>
    <row r="22" customFormat="false" ht="15" hidden="false" customHeight="false" outlineLevel="0" collapsed="false">
      <c r="B22" s="55" t="s">
        <v>317</v>
      </c>
      <c r="C22" s="60" t="n">
        <f aca="false">Вводные!$C$15*(1+C21)</f>
        <v>3567.25</v>
      </c>
      <c r="D22" s="60" t="n">
        <f aca="false">Вводные!$C$15*(1+D21)</f>
        <v>3661.125</v>
      </c>
      <c r="E22" s="60" t="n">
        <f aca="false">Вводные!$C$15*(1+E21)</f>
        <v>3755</v>
      </c>
      <c r="F22" s="60" t="n">
        <f aca="false">Вводные!$C$15*(1+F21)</f>
        <v>3848.875</v>
      </c>
      <c r="G22" s="60" t="n">
        <f aca="false">Вводные!$C$15*(1+G21)</f>
        <v>3942.75</v>
      </c>
      <c r="H22" s="60" t="n">
        <f aca="false">Вводные!$C$15*(1+H21)</f>
        <v>4036.625</v>
      </c>
      <c r="I22" s="60" t="n">
        <f aca="false">Вводные!$C$15*(1+I21)</f>
        <v>4130.5</v>
      </c>
    </row>
    <row r="23" customFormat="false" ht="15" hidden="false" customHeight="false" outlineLevel="0" collapsed="false">
      <c r="B23" s="55" t="s">
        <v>318</v>
      </c>
    </row>
    <row r="24" customFormat="false" ht="15" hidden="false" customHeight="false" outlineLevel="0" collapsed="false">
      <c r="B24" s="61" t="n">
        <v>0.96</v>
      </c>
      <c r="C24" s="62" t="n">
        <f aca="false">$B24*Вводные!$C$15*(1+C$21)*База!$C$6*База!$C$11/1000*(1-Вводные!$C$40)-База!$C$23-База!$C$24*$B24/Вводные!$C$14</f>
        <v>170.418723404255</v>
      </c>
      <c r="D24" s="62" t="n">
        <f aca="false">$B24*Вводные!$C$15*(1+D$21)*База!$C$6*База!$C$11/1000*(1-Вводные!$C$40)-База!$C$23-База!$C$24*$B24/Вводные!$C$14</f>
        <v>189.026382978724</v>
      </c>
      <c r="E24" s="62" t="n">
        <f aca="false">$B24*Вводные!$C$15*(1+E$21)*База!$C$6*База!$C$11/1000*(1-Вводные!$C$40)-База!$C$23-База!$C$24*$B24/Вводные!$C$14</f>
        <v>207.634042553192</v>
      </c>
      <c r="F24" s="62" t="n">
        <f aca="false">$B24*Вводные!$C$15*(1+F$21)*База!$C$6*База!$C$11/1000*(1-Вводные!$C$40)-База!$C$23-База!$C$24*$B24/Вводные!$C$14</f>
        <v>226.24170212766</v>
      </c>
      <c r="G24" s="62" t="n">
        <f aca="false">$B24*Вводные!$C$15*(1+G$21)*База!$C$6*База!$C$11/1000*(1-Вводные!$C$40)-База!$C$23-База!$C$24*$B24/Вводные!$C$14</f>
        <v>244.849361702128</v>
      </c>
      <c r="H24" s="62" t="n">
        <f aca="false">$B24*Вводные!$C$15*(1+H$21)*База!$C$6*База!$C$11/1000*(1-Вводные!$C$40)-База!$C$23-База!$C$24*$B24/Вводные!$C$14</f>
        <v>263.457021276596</v>
      </c>
      <c r="I24" s="62" t="n">
        <f aca="false">$B24*Вводные!$C$15*(1+I$21)*База!$C$6*База!$C$11/1000*(1-Вводные!$C$40)-База!$C$23-База!$C$24*$B24/Вводные!$C$14</f>
        <v>282.064680851064</v>
      </c>
    </row>
    <row r="25" customFormat="false" ht="15" hidden="false" customHeight="false" outlineLevel="0" collapsed="false">
      <c r="B25" s="61" t="n">
        <v>0.94</v>
      </c>
      <c r="C25" s="62" t="n">
        <f aca="false">$B25*Вводные!$C$15*(1+C$21)*База!$C$6*База!$C$11/1000*(1-Вводные!$C$40)-База!$C$23-База!$C$24*$B25/Вводные!$C$14</f>
        <v>156.06</v>
      </c>
      <c r="D25" s="62" t="n">
        <f aca="false">$B25*Вводные!$C$15*(1+D$21)*База!$C$6*База!$C$11/1000*(1-Вводные!$C$40)-База!$C$23-База!$C$24*$B25/Вводные!$C$14</f>
        <v>174.28</v>
      </c>
      <c r="E25" s="62" t="n">
        <f aca="false">$B25*Вводные!$C$15*(1+E$21)*База!$C$6*База!$C$11/1000*(1-Вводные!$C$40)-База!$C$23-База!$C$24*$B25/Вводные!$C$14</f>
        <v>192.5</v>
      </c>
      <c r="F25" s="62" t="n">
        <f aca="false">$B25*Вводные!$C$15*(1+F$21)*База!$C$6*База!$C$11/1000*(1-Вводные!$C$40)-База!$C$23-База!$C$24*$B25/Вводные!$C$14</f>
        <v>210.72</v>
      </c>
      <c r="G25" s="62" t="n">
        <f aca="false">$B25*Вводные!$C$15*(1+G$21)*База!$C$6*База!$C$11/1000*(1-Вводные!$C$40)-База!$C$23-База!$C$24*$B25/Вводные!$C$14</f>
        <v>228.94</v>
      </c>
      <c r="H25" s="62" t="n">
        <f aca="false">$B25*Вводные!$C$15*(1+H$21)*База!$C$6*База!$C$11/1000*(1-Вводные!$C$40)-База!$C$23-База!$C$24*$B25/Вводные!$C$14</f>
        <v>247.16</v>
      </c>
      <c r="I25" s="62" t="n">
        <f aca="false">$B25*Вводные!$C$15*(1+I$21)*База!$C$6*База!$C$11/1000*(1-Вводные!$C$40)-База!$C$23-База!$C$24*$B25/Вводные!$C$14</f>
        <v>265.38</v>
      </c>
    </row>
    <row r="26" customFormat="false" ht="15" hidden="false" customHeight="false" outlineLevel="0" collapsed="false">
      <c r="B26" s="61" t="n">
        <v>0.92</v>
      </c>
      <c r="C26" s="62" t="n">
        <f aca="false">$B26*Вводные!$C$15*(1+C$21)*База!$C$6*База!$C$11/1000*(1-Вводные!$C$40)-База!$C$23-База!$C$24*$B26/Вводные!$C$14</f>
        <v>141.701276595745</v>
      </c>
      <c r="D26" s="62" t="n">
        <f aca="false">$B26*Вводные!$C$15*(1+D$21)*База!$C$6*База!$C$11/1000*(1-Вводные!$C$40)-База!$C$23-База!$C$24*$B26/Вводные!$C$14</f>
        <v>159.533617021277</v>
      </c>
      <c r="E26" s="62" t="n">
        <f aca="false">$B26*Вводные!$C$15*(1+E$21)*База!$C$6*База!$C$11/1000*(1-Вводные!$C$40)-База!$C$23-База!$C$24*$B26/Вводные!$C$14</f>
        <v>177.365957446809</v>
      </c>
      <c r="F26" s="62" t="n">
        <f aca="false">$B26*Вводные!$C$15*(1+F$21)*База!$C$6*База!$C$11/1000*(1-Вводные!$C$40)-База!$C$23-База!$C$24*$B26/Вводные!$C$14</f>
        <v>195.198297872341</v>
      </c>
      <c r="G26" s="62" t="n">
        <f aca="false">$B26*Вводные!$C$15*(1+G$21)*База!$C$6*База!$C$11/1000*(1-Вводные!$C$40)-База!$C$23-База!$C$24*$B26/Вводные!$C$14</f>
        <v>213.030638297873</v>
      </c>
      <c r="H26" s="62" t="n">
        <f aca="false">$B26*Вводные!$C$15*(1+H$21)*База!$C$6*База!$C$11/1000*(1-Вводные!$C$40)-База!$C$23-База!$C$24*$B26/Вводные!$C$14</f>
        <v>230.862978723405</v>
      </c>
      <c r="I26" s="62" t="n">
        <f aca="false">$B26*Вводные!$C$15*(1+I$21)*База!$C$6*База!$C$11/1000*(1-Вводные!$C$40)-База!$C$23-База!$C$24*$B26/Вводные!$C$14</f>
        <v>248.695319148937</v>
      </c>
    </row>
    <row r="27" customFormat="false" ht="15" hidden="false" customHeight="false" outlineLevel="0" collapsed="false">
      <c r="B27" s="61" t="n">
        <v>0.9</v>
      </c>
      <c r="C27" s="62" t="n">
        <f aca="false">$B27*Вводные!$C$15*(1+C$21)*База!$C$6*База!$C$11/1000*(1-Вводные!$C$40)-База!$C$23-База!$C$24*$B27/Вводные!$C$14</f>
        <v>127.34255319149</v>
      </c>
      <c r="D27" s="62" t="n">
        <f aca="false">$B27*Вводные!$C$15*(1+D$21)*База!$C$6*База!$C$11/1000*(1-Вводные!$C$40)-База!$C$23-База!$C$24*$B27/Вводные!$C$14</f>
        <v>144.787234042553</v>
      </c>
      <c r="E27" s="62" t="n">
        <f aca="false">$B27*Вводные!$C$15*(1+E$21)*База!$C$6*База!$C$11/1000*(1-Вводные!$C$40)-База!$C$23-База!$C$24*$B27/Вводные!$C$14</f>
        <v>162.231914893617</v>
      </c>
      <c r="F27" s="62" t="n">
        <f aca="false">$B27*Вводные!$C$15*(1+F$21)*База!$C$6*База!$C$11/1000*(1-Вводные!$C$40)-База!$C$23-База!$C$24*$B27/Вводные!$C$14</f>
        <v>179.676595744681</v>
      </c>
      <c r="G27" s="62" t="n">
        <f aca="false">$B27*Вводные!$C$15*(1+G$21)*База!$C$6*База!$C$11/1000*(1-Вводные!$C$40)-База!$C$23-База!$C$24*$B27/Вводные!$C$14</f>
        <v>197.121276595745</v>
      </c>
      <c r="H27" s="62" t="n">
        <f aca="false">$B27*Вводные!$C$15*(1+H$21)*База!$C$6*База!$C$11/1000*(1-Вводные!$C$40)-База!$C$23-База!$C$24*$B27/Вводные!$C$14</f>
        <v>214.565957446809</v>
      </c>
      <c r="I27" s="62" t="n">
        <f aca="false">$B27*Вводные!$C$15*(1+I$21)*База!$C$6*База!$C$11/1000*(1-Вводные!$C$40)-База!$C$23-База!$C$24*$B27/Вводные!$C$14</f>
        <v>232.010638297873</v>
      </c>
    </row>
    <row r="28" customFormat="false" ht="15" hidden="false" customHeight="false" outlineLevel="0" collapsed="false">
      <c r="B28" s="61" t="n">
        <v>0.88</v>
      </c>
      <c r="C28" s="62" t="n">
        <f aca="false">$B28*Вводные!$C$15*(1+C$21)*База!$C$6*База!$C$11/1000*(1-Вводные!$C$40)-База!$C$23-База!$C$24*$B28/Вводные!$C$14</f>
        <v>112.983829787234</v>
      </c>
      <c r="D28" s="62" t="n">
        <f aca="false">$B28*Вводные!$C$15*(1+D$21)*База!$C$6*База!$C$11/1000*(1-Вводные!$C$40)-База!$C$23-База!$C$24*$B28/Вводные!$C$14</f>
        <v>130.04085106383</v>
      </c>
      <c r="E28" s="62" t="n">
        <f aca="false">$B28*Вводные!$C$15*(1+E$21)*База!$C$6*База!$C$11/1000*(1-Вводные!$C$40)-База!$C$23-База!$C$24*$B28/Вводные!$C$14</f>
        <v>147.097872340426</v>
      </c>
      <c r="F28" s="62" t="n">
        <f aca="false">$B28*Вводные!$C$15*(1+F$21)*База!$C$6*База!$C$11/1000*(1-Вводные!$C$40)-База!$C$23-База!$C$24*$B28/Вводные!$C$14</f>
        <v>164.154893617021</v>
      </c>
      <c r="G28" s="62" t="n">
        <f aca="false">$B28*Вводные!$C$15*(1+G$21)*База!$C$6*База!$C$11/1000*(1-Вводные!$C$40)-База!$C$23-База!$C$24*$B28/Вводные!$C$14</f>
        <v>181.211914893617</v>
      </c>
      <c r="H28" s="62" t="n">
        <f aca="false">$B28*Вводные!$C$15*(1+H$21)*База!$C$6*База!$C$11/1000*(1-Вводные!$C$40)-База!$C$23-База!$C$24*$B28/Вводные!$C$14</f>
        <v>198.268936170213</v>
      </c>
      <c r="I28" s="62" t="n">
        <f aca="false">$B28*Вводные!$C$15*(1+I$21)*База!$C$6*База!$C$11/1000*(1-Вводные!$C$40)-База!$C$23-База!$C$24*$B28/Вводные!$C$14</f>
        <v>215.325957446809</v>
      </c>
    </row>
    <row r="29" customFormat="false" ht="15" hidden="false" customHeight="false" outlineLevel="0" collapsed="false">
      <c r="B29" s="61" t="n">
        <v>0.84</v>
      </c>
      <c r="C29" s="62" t="n">
        <f aca="false">$B29*Вводные!$C$15*(1+C$21)*База!$C$6*База!$C$11/1000*(1-Вводные!$C$40)-База!$C$23-База!$C$24*$B29/Вводные!$C$14</f>
        <v>84.2663829787235</v>
      </c>
      <c r="D29" s="62" t="n">
        <f aca="false">$B29*Вводные!$C$15*(1+D$21)*База!$C$6*База!$C$11/1000*(1-Вводные!$C$40)-База!$C$23-База!$C$24*$B29/Вводные!$C$14</f>
        <v>100.548085106383</v>
      </c>
      <c r="E29" s="62" t="n">
        <f aca="false">$B29*Вводные!$C$15*(1+E$21)*База!$C$6*База!$C$11/1000*(1-Вводные!$C$40)-База!$C$23-База!$C$24*$B29/Вводные!$C$14</f>
        <v>116.829787234043</v>
      </c>
      <c r="F29" s="62" t="n">
        <f aca="false">$B29*Вводные!$C$15*(1+F$21)*База!$C$6*База!$C$11/1000*(1-Вводные!$C$40)-База!$C$23-База!$C$24*$B29/Вводные!$C$14</f>
        <v>133.111489361702</v>
      </c>
      <c r="G29" s="62" t="n">
        <f aca="false">$B29*Вводные!$C$15*(1+G$21)*База!$C$6*База!$C$11/1000*(1-Вводные!$C$40)-База!$C$23-База!$C$24*$B29/Вводные!$C$14</f>
        <v>149.393191489362</v>
      </c>
      <c r="H29" s="62" t="n">
        <f aca="false">$B29*Вводные!$C$15*(1+H$21)*База!$C$6*База!$C$11/1000*(1-Вводные!$C$40)-База!$C$23-База!$C$24*$B29/Вводные!$C$14</f>
        <v>165.674893617021</v>
      </c>
      <c r="I29" s="62" t="n">
        <f aca="false">$B29*Вводные!$C$15*(1+I$21)*База!$C$6*База!$C$11/1000*(1-Вводные!$C$40)-База!$C$23-База!$C$24*$B29/Вводные!$C$14</f>
        <v>181.956595744681</v>
      </c>
    </row>
    <row r="30" customFormat="false" ht="15" hidden="false" customHeight="false" outlineLevel="0" collapsed="false">
      <c r="B30" s="61" t="n">
        <v>0.8</v>
      </c>
      <c r="C30" s="62" t="n">
        <f aca="false">$B30*Вводные!$C$15*(1+C$21)*База!$C$6*База!$C$11/1000*(1-Вводные!$C$40)-База!$C$23-База!$C$24*$B30/Вводные!$C$14</f>
        <v>55.5489361702128</v>
      </c>
      <c r="D30" s="62" t="n">
        <f aca="false">$B30*Вводные!$C$15*(1+D$21)*База!$C$6*База!$C$11/1000*(1-Вводные!$C$40)-База!$C$23-База!$C$24*$B30/Вводные!$C$14</f>
        <v>71.0553191489364</v>
      </c>
      <c r="E30" s="62" t="n">
        <f aca="false">$B30*Вводные!$C$15*(1+E$21)*База!$C$6*База!$C$11/1000*(1-Вводные!$C$40)-База!$C$23-База!$C$24*$B30/Вводные!$C$14</f>
        <v>86.5617021276598</v>
      </c>
      <c r="F30" s="62" t="n">
        <f aca="false">$B30*Вводные!$C$15*(1+F$21)*База!$C$6*База!$C$11/1000*(1-Вводные!$C$40)-База!$C$23-База!$C$24*$B30/Вводные!$C$14</f>
        <v>102.068085106383</v>
      </c>
      <c r="G30" s="62" t="n">
        <f aca="false">$B30*Вводные!$C$15*(1+G$21)*База!$C$6*База!$C$11/1000*(1-Вводные!$C$40)-База!$C$23-База!$C$24*$B30/Вводные!$C$14</f>
        <v>117.574468085107</v>
      </c>
      <c r="H30" s="62" t="n">
        <f aca="false">$B30*Вводные!$C$15*(1+H$21)*База!$C$6*База!$C$11/1000*(1-Вводные!$C$40)-База!$C$23-База!$C$24*$B30/Вводные!$C$14</f>
        <v>133.08085106383</v>
      </c>
      <c r="I30" s="62" t="n">
        <f aca="false">$B30*Вводные!$C$15*(1+I$21)*База!$C$6*База!$C$11/1000*(1-Вводные!$C$40)-База!$C$23-База!$C$24*$B30/Вводные!$C$14</f>
        <v>148.587234042553</v>
      </c>
    </row>
    <row r="31" customFormat="false" ht="15" hidden="false" customHeight="false" outlineLevel="0" collapsed="false">
      <c r="B31" s="61" t="n">
        <v>0.75</v>
      </c>
      <c r="C31" s="62" t="n">
        <f aca="false">$B31*Вводные!$C$15*(1+C$21)*База!$C$6*База!$C$11/1000*(1-Вводные!$C$40)-База!$C$23-База!$C$24*$B31/Вводные!$C$14</f>
        <v>19.6521276595746</v>
      </c>
      <c r="D31" s="62" t="n">
        <f aca="false">$B31*Вводные!$C$15*(1+D$21)*База!$C$6*База!$C$11/1000*(1-Вводные!$C$40)-База!$C$23-База!$C$24*$B31/Вводные!$C$14</f>
        <v>34.1893617021277</v>
      </c>
      <c r="E31" s="62" t="n">
        <f aca="false">$B31*Вводные!$C$15*(1+E$21)*База!$C$6*База!$C$11/1000*(1-Вводные!$C$40)-База!$C$23-База!$C$24*$B31/Вводные!$C$14</f>
        <v>48.726595744681</v>
      </c>
      <c r="F31" s="62" t="n">
        <f aca="false">$B31*Вводные!$C$15*(1+F$21)*База!$C$6*База!$C$11/1000*(1-Вводные!$C$40)-База!$C$23-База!$C$24*$B31/Вводные!$C$14</f>
        <v>63.2638297872341</v>
      </c>
      <c r="G31" s="62" t="n">
        <f aca="false">$B31*Вводные!$C$15*(1+G$21)*База!$C$6*База!$C$11/1000*(1-Вводные!$C$40)-База!$C$23-База!$C$24*$B31/Вводные!$C$14</f>
        <v>77.8010638297874</v>
      </c>
      <c r="H31" s="62" t="n">
        <f aca="false">$B31*Вводные!$C$15*(1+H$21)*База!$C$6*База!$C$11/1000*(1-Вводные!$C$40)-База!$C$23-База!$C$24*$B31/Вводные!$C$14</f>
        <v>92.3382978723406</v>
      </c>
      <c r="I31" s="62" t="n">
        <f aca="false">$B31*Вводные!$C$15*(1+I$21)*База!$C$6*База!$C$11/1000*(1-Вводные!$C$40)-База!$C$23-База!$C$24*$B31/Вводные!$C$14</f>
        <v>106.875531914894</v>
      </c>
    </row>
    <row r="32" customFormat="false" ht="15" hidden="false" customHeight="false" outlineLevel="0" collapsed="false">
      <c r="B32" s="61" t="n">
        <v>0.7</v>
      </c>
      <c r="C32" s="62" t="n">
        <f aca="false">$B32*Вводные!$C$15*(1+C$21)*База!$C$6*База!$C$11/1000*(1-Вводные!$C$40)-База!$C$23-База!$C$24*$B32/Вводные!$C$14</f>
        <v>-16.2446808510638</v>
      </c>
      <c r="D32" s="62" t="n">
        <f aca="false">$B32*Вводные!$C$15*(1+D$21)*База!$C$6*База!$C$11/1000*(1-Вводные!$C$40)-База!$C$23-База!$C$24*$B32/Вводные!$C$14</f>
        <v>-2.67659574468066</v>
      </c>
      <c r="E32" s="62" t="n">
        <f aca="false">$B32*Вводные!$C$15*(1+E$21)*База!$C$6*База!$C$11/1000*(1-Вводные!$C$40)-База!$C$23-База!$C$24*$B32/Вводные!$C$14</f>
        <v>10.8914893617022</v>
      </c>
      <c r="F32" s="62" t="n">
        <f aca="false">$B32*Вводные!$C$15*(1+F$21)*База!$C$6*База!$C$11/1000*(1-Вводные!$C$40)-База!$C$23-База!$C$24*$B32/Вводные!$C$14</f>
        <v>24.4595744680852</v>
      </c>
      <c r="G32" s="62" t="n">
        <f aca="false">$B32*Вводные!$C$15*(1+G$21)*База!$C$6*База!$C$11/1000*(1-Вводные!$C$40)-База!$C$23-База!$C$24*$B32/Вводные!$C$14</f>
        <v>38.0276595744682</v>
      </c>
      <c r="H32" s="62" t="n">
        <f aca="false">$B32*Вводные!$C$15*(1+H$21)*База!$C$6*База!$C$11/1000*(1-Вводные!$C$40)-База!$C$23-База!$C$24*$B32/Вводные!$C$14</f>
        <v>51.5957446808512</v>
      </c>
      <c r="I32" s="62" t="n">
        <f aca="false">$B32*Вводные!$C$15*(1+I$21)*База!$C$6*База!$C$11/1000*(1-Вводные!$C$40)-База!$C$23-База!$C$24*$B32/Вводные!$C$14</f>
        <v>65.1638297872342</v>
      </c>
    </row>
    <row r="33" customFormat="false" ht="15" hidden="false" customHeight="false" outlineLevel="0" collapsed="false">
      <c r="B33" s="61" t="n">
        <v>0.65</v>
      </c>
      <c r="C33" s="62" t="n">
        <f aca="false">$B33*Вводные!$C$15*(1+C$21)*База!$C$6*База!$C$11/1000*(1-Вводные!$C$40)-База!$C$23-База!$C$24*$B33/Вводные!$C$14</f>
        <v>-52.141489361702</v>
      </c>
      <c r="D33" s="62" t="n">
        <f aca="false">$B33*Вводные!$C$15*(1+D$21)*База!$C$6*База!$C$11/1000*(1-Вводные!$C$40)-База!$C$23-База!$C$24*$B33/Вводные!$C$14</f>
        <v>-39.5425531914892</v>
      </c>
      <c r="E33" s="62" t="n">
        <f aca="false">$B33*Вводные!$C$15*(1+E$21)*База!$C$6*База!$C$11/1000*(1-Вводные!$C$40)-База!$C$23-База!$C$24*$B33/Вводные!$C$14</f>
        <v>-26.9436170212765</v>
      </c>
      <c r="F33" s="62" t="n">
        <f aca="false">$B33*Вводные!$C$15*(1+F$21)*База!$C$6*База!$C$11/1000*(1-Вводные!$C$40)-База!$C$23-База!$C$24*$B33/Вводные!$C$14</f>
        <v>-14.3446808510638</v>
      </c>
      <c r="G33" s="62" t="n">
        <f aca="false">$B33*Вводные!$C$15*(1+G$21)*База!$C$6*База!$C$11/1000*(1-Вводные!$C$40)-База!$C$23-База!$C$24*$B33/Вводные!$C$14</f>
        <v>-1.74574468085087</v>
      </c>
      <c r="H33" s="62" t="n">
        <f aca="false">$B33*Вводные!$C$15*(1+H$21)*База!$C$6*База!$C$11/1000*(1-Вводные!$C$40)-База!$C$23-База!$C$24*$B33/Вводные!$C$14</f>
        <v>10.8531914893618</v>
      </c>
      <c r="I33" s="62" t="n">
        <f aca="false">$B33*Вводные!$C$15*(1+I$21)*База!$C$6*База!$C$11/1000*(1-Вводные!$C$40)-База!$C$23-База!$C$24*$B33/Вводные!$C$14</f>
        <v>23.4521276595747</v>
      </c>
    </row>
    <row r="34" customFormat="false" ht="15" hidden="false" customHeight="false" outlineLevel="0" collapsed="false">
      <c r="B34" s="5" t="s">
        <v>319</v>
      </c>
    </row>
  </sheetData>
  <mergeCells count="12">
    <mergeCell ref="E5:I5"/>
    <mergeCell ref="E6:I6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</mergeCells>
  <conditionalFormatting sqref="C24:I33">
    <cfRule type="colorScale" priority="2">
      <colorScale>
        <cfvo type="min" val="0"/>
        <cfvo type="num" val="0"/>
        <cfvo type="max" val="0"/>
        <color rgb="FFE8A596"/>
        <color rgb="FFFFFFFF"/>
        <color rgb="FF3E9B90"/>
      </colorScale>
    </cfRule>
    <cfRule type="expression" priority="3" aboveAverage="0" equalAverage="0" bottom="0" percent="0" rank="0" text="" dxfId="0">
      <formula>AND(ROUND($B24,4)=ROUND($C$20,4),ROUND(C$21,4)=0)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A0"/>
    <pageSetUpPr fitToPage="true"/>
  </sheetPr>
  <dimension ref="B1:H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3" min="3" style="0" width="9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16"/>
  </cols>
  <sheetData>
    <row r="1" customFormat="false" ht="24" hidden="false" customHeight="true" outlineLevel="0" collapsed="false">
      <c r="B1" s="1" t="s">
        <v>320</v>
      </c>
    </row>
    <row r="2" customFormat="false" ht="15" hidden="false" customHeight="false" outlineLevel="0" collapsed="false">
      <c r="B2" s="2" t="s">
        <v>321</v>
      </c>
    </row>
    <row r="4" customFormat="false" ht="15" hidden="false" customHeight="false" outlineLevel="0" collapsed="false">
      <c r="B4" s="3" t="s">
        <v>322</v>
      </c>
      <c r="C4" s="63" t="n">
        <f aca="false">COUNTIF(H7:H74,"РАСХОЖДЕНИЕ")</f>
        <v>0</v>
      </c>
      <c r="D4" s="6" t="str">
        <f aca="false">"из "&amp;COUNTA(H7:H74)&amp;" показателей"</f>
        <v>из 68 показателей</v>
      </c>
    </row>
    <row r="6" customFormat="false" ht="30" hidden="false" customHeight="true" outlineLevel="0" collapsed="false">
      <c r="B6" s="9" t="s">
        <v>78</v>
      </c>
      <c r="C6" s="10" t="s">
        <v>323</v>
      </c>
      <c r="D6" s="10" t="s">
        <v>324</v>
      </c>
      <c r="E6" s="10" t="s">
        <v>325</v>
      </c>
      <c r="F6" s="10" t="s">
        <v>326</v>
      </c>
      <c r="G6" s="10" t="s">
        <v>327</v>
      </c>
      <c r="H6" s="10" t="s">
        <v>328</v>
      </c>
    </row>
    <row r="7" customFormat="false" ht="15" hidden="false" customHeight="false" outlineLevel="0" collapsed="false">
      <c r="B7" s="13" t="s">
        <v>329</v>
      </c>
      <c r="C7" s="15" t="s">
        <v>330</v>
      </c>
      <c r="D7" s="19" t="n">
        <v>573.1</v>
      </c>
      <c r="E7" s="29" t="n">
        <f aca="false">База!$C$26</f>
        <v>573.1</v>
      </c>
      <c r="F7" s="64" t="n">
        <f aca="false">E7-D7</f>
        <v>0</v>
      </c>
      <c r="G7" s="65" t="n">
        <v>0.05</v>
      </c>
      <c r="H7" s="66" t="str">
        <f aca="false">IF(ABS(F7)&lt;=G7+0.000000001,"OK","РАСХОЖДЕНИЕ")</f>
        <v>OK</v>
      </c>
    </row>
    <row r="8" customFormat="false" ht="15" hidden="false" customHeight="false" outlineLevel="0" collapsed="false">
      <c r="B8" s="13" t="s">
        <v>331</v>
      </c>
      <c r="C8" s="15" t="s">
        <v>330</v>
      </c>
      <c r="D8" s="19" t="n">
        <v>34.4</v>
      </c>
      <c r="E8" s="29" t="n">
        <f aca="false">База!$C$27</f>
        <v>34.4</v>
      </c>
      <c r="F8" s="64" t="n">
        <f aca="false">E8-D8</f>
        <v>0</v>
      </c>
      <c r="G8" s="65" t="n">
        <v>0.05</v>
      </c>
      <c r="H8" s="66" t="str">
        <f aca="false">IF(ABS(F8)&lt;=G8+0.000000001,"OK","РАСХОЖДЕНИЕ")</f>
        <v>OK</v>
      </c>
    </row>
    <row r="9" customFormat="false" ht="15" hidden="false" customHeight="false" outlineLevel="0" collapsed="false">
      <c r="B9" s="13" t="s">
        <v>332</v>
      </c>
      <c r="C9" s="15" t="s">
        <v>330</v>
      </c>
      <c r="D9" s="19" t="n">
        <v>192.5</v>
      </c>
      <c r="E9" s="29" t="n">
        <f aca="false">База!$C$28</f>
        <v>192.5</v>
      </c>
      <c r="F9" s="64" t="n">
        <f aca="false">E9-D9</f>
        <v>0</v>
      </c>
      <c r="G9" s="65" t="n">
        <v>0.05</v>
      </c>
      <c r="H9" s="66" t="str">
        <f aca="false">IF(ABS(F9)&lt;=G9+0.000000001,"OK","РАСХОЖДЕНИЕ")</f>
        <v>OK</v>
      </c>
    </row>
    <row r="10" customFormat="false" ht="15" hidden="false" customHeight="false" outlineLevel="0" collapsed="false">
      <c r="B10" s="13" t="s">
        <v>333</v>
      </c>
      <c r="C10" s="15" t="s">
        <v>330</v>
      </c>
      <c r="D10" s="17" t="n">
        <v>0.241</v>
      </c>
      <c r="E10" s="67" t="n">
        <f aca="false">База!$C$29</f>
        <v>0.240625</v>
      </c>
      <c r="F10" s="64" t="n">
        <f aca="false">E10-D10</f>
        <v>-0.000374999999999875</v>
      </c>
      <c r="G10" s="68" t="n">
        <v>0.0005</v>
      </c>
      <c r="H10" s="66" t="str">
        <f aca="false">IF(ABS(F10)&lt;=G10+0.000000001,"OK","РАСХОЖДЕНИЕ")</f>
        <v>OK</v>
      </c>
    </row>
    <row r="11" customFormat="false" ht="15" hidden="false" customHeight="false" outlineLevel="0" collapsed="false">
      <c r="B11" s="13" t="s">
        <v>334</v>
      </c>
      <c r="C11" s="15" t="s">
        <v>330</v>
      </c>
      <c r="D11" s="19" t="n">
        <v>152.5</v>
      </c>
      <c r="E11" s="29" t="n">
        <f aca="false">База!$C$32</f>
        <v>152.5</v>
      </c>
      <c r="F11" s="64" t="n">
        <f aca="false">E11-D11</f>
        <v>0</v>
      </c>
      <c r="G11" s="65" t="n">
        <v>0.05</v>
      </c>
      <c r="H11" s="66" t="str">
        <f aca="false">IF(ABS(F11)&lt;=G11+0.000000001,"OK","РАСХОЖДЕНИЕ")</f>
        <v>OK</v>
      </c>
    </row>
    <row r="12" customFormat="false" ht="15" hidden="false" customHeight="false" outlineLevel="0" collapsed="false">
      <c r="B12" s="13" t="s">
        <v>335</v>
      </c>
      <c r="C12" s="15" t="s">
        <v>336</v>
      </c>
      <c r="D12" s="19" t="n">
        <v>858.9</v>
      </c>
      <c r="E12" s="29" t="n">
        <f aca="false">База!$C$8</f>
        <v>858.893666666667</v>
      </c>
      <c r="F12" s="64" t="n">
        <f aca="false">E12-D12</f>
        <v>-0.00633333333337305</v>
      </c>
      <c r="G12" s="65" t="n">
        <v>0.05</v>
      </c>
      <c r="H12" s="66" t="str">
        <f aca="false">IF(ABS(F12)&lt;=G12+0.000000001,"OK","РАСХОЖДЕНИЕ")</f>
        <v>OK</v>
      </c>
    </row>
    <row r="13" customFormat="false" ht="15" hidden="false" customHeight="false" outlineLevel="0" collapsed="false">
      <c r="B13" s="13" t="s">
        <v>337</v>
      </c>
      <c r="C13" s="15" t="s">
        <v>336</v>
      </c>
      <c r="D13" s="69" t="n">
        <v>0.931</v>
      </c>
      <c r="E13" s="70" t="n">
        <f aca="false">База!$C$11</f>
        <v>0.931430782467834</v>
      </c>
      <c r="F13" s="64" t="n">
        <f aca="false">E13-D13</f>
        <v>0.000430782467833679</v>
      </c>
      <c r="G13" s="68" t="n">
        <v>0.0005</v>
      </c>
      <c r="H13" s="66" t="str">
        <f aca="false">IF(ABS(F13)&lt;=G13+0.000000001,"OK","РАСХОЖДЕНИЕ")</f>
        <v>OK</v>
      </c>
    </row>
    <row r="14" customFormat="false" ht="15" hidden="false" customHeight="false" outlineLevel="0" collapsed="false">
      <c r="B14" s="13" t="s">
        <v>338</v>
      </c>
      <c r="C14" s="15" t="s">
        <v>336</v>
      </c>
      <c r="D14" s="18" t="n">
        <v>3498</v>
      </c>
      <c r="E14" s="71" t="n">
        <f aca="false">База!$C$13</f>
        <v>3497.52258816672</v>
      </c>
      <c r="F14" s="64" t="n">
        <f aca="false">E14-D14</f>
        <v>-0.47741183328435</v>
      </c>
      <c r="G14" s="65" t="n">
        <v>1</v>
      </c>
      <c r="H14" s="66" t="str">
        <f aca="false">IF(ABS(F14)&lt;=G14+0.000000001,"OK","РАСХОЖДЕНИЕ")</f>
        <v>OK</v>
      </c>
    </row>
    <row r="15" customFormat="false" ht="15" hidden="false" customHeight="false" outlineLevel="0" collapsed="false">
      <c r="B15" s="13" t="s">
        <v>339</v>
      </c>
      <c r="C15" s="15" t="s">
        <v>336</v>
      </c>
      <c r="D15" s="17" t="n">
        <v>0.876</v>
      </c>
      <c r="E15" s="67" t="n">
        <f aca="false">База!$C$14</f>
        <v>0.875544935519764</v>
      </c>
      <c r="F15" s="64" t="n">
        <f aca="false">E15-D15</f>
        <v>-0.000455064480236467</v>
      </c>
      <c r="G15" s="68" t="n">
        <v>0.0005</v>
      </c>
      <c r="H15" s="66" t="str">
        <f aca="false">IF(ABS(F15)&lt;=G15+0.000000001,"OK","РАСХОЖДЕНИЕ")</f>
        <v>OK</v>
      </c>
    </row>
    <row r="16" customFormat="false" ht="15" hidden="false" customHeight="false" outlineLevel="0" collapsed="false">
      <c r="B16" s="13" t="s">
        <v>302</v>
      </c>
      <c r="C16" s="15" t="s">
        <v>340</v>
      </c>
      <c r="D16" s="17" t="n">
        <v>0.69</v>
      </c>
      <c r="E16" s="67" t="n">
        <f aca="false">Карта!$C$11</f>
        <v>0.685606635737382</v>
      </c>
      <c r="F16" s="64" t="n">
        <f aca="false">E16-D16</f>
        <v>-0.00439336426261783</v>
      </c>
      <c r="G16" s="68" t="n">
        <v>0.005</v>
      </c>
      <c r="H16" s="66" t="str">
        <f aca="false">IF(ABS(F16)&lt;=G16+0.000000001,"OK","РАСХОЖДЕНИЕ")</f>
        <v>OK</v>
      </c>
    </row>
    <row r="17" customFormat="false" ht="15" hidden="false" customHeight="false" outlineLevel="0" collapsed="false">
      <c r="B17" s="13" t="s">
        <v>341</v>
      </c>
      <c r="C17" s="15" t="s">
        <v>340</v>
      </c>
      <c r="D17" s="17" t="n">
        <v>0.64</v>
      </c>
      <c r="E17" s="67" t="n">
        <f aca="false">Карта!$C$12</f>
        <v>0.637519631179396</v>
      </c>
      <c r="F17" s="64" t="n">
        <f aca="false">E17-D17</f>
        <v>-0.00248036882060398</v>
      </c>
      <c r="G17" s="68" t="n">
        <v>0.005</v>
      </c>
      <c r="H17" s="66" t="str">
        <f aca="false">IF(ABS(F17)&lt;=G17+0.000000001,"OK","РАСХОЖДЕНИЕ")</f>
        <v>OK</v>
      </c>
    </row>
    <row r="18" customFormat="false" ht="15" hidden="false" customHeight="false" outlineLevel="0" collapsed="false">
      <c r="B18" s="13" t="s">
        <v>342</v>
      </c>
      <c r="C18" s="15" t="s">
        <v>340</v>
      </c>
      <c r="D18" s="17" t="n">
        <v>0.61</v>
      </c>
      <c r="E18" s="67" t="n">
        <f aca="false">Карта!$C$13</f>
        <v>0.608157365215156</v>
      </c>
      <c r="F18" s="64" t="n">
        <f aca="false">E18-D18</f>
        <v>-0.00184263478484392</v>
      </c>
      <c r="G18" s="68" t="n">
        <v>0.005</v>
      </c>
      <c r="H18" s="66" t="str">
        <f aca="false">IF(ABS(F18)&lt;=G18+0.000000001,"OK","РАСХОЖДЕНИЕ")</f>
        <v>OK</v>
      </c>
    </row>
    <row r="19" customFormat="false" ht="15" hidden="false" customHeight="false" outlineLevel="0" collapsed="false">
      <c r="B19" s="13" t="s">
        <v>343</v>
      </c>
      <c r="C19" s="15" t="s">
        <v>340</v>
      </c>
      <c r="D19" s="72" t="n">
        <v>25</v>
      </c>
      <c r="E19" s="73" t="n">
        <f aca="false">Карта!$C$14</f>
        <v>25.4393364262618</v>
      </c>
      <c r="F19" s="64" t="n">
        <f aca="false">E19-D19</f>
        <v>0.439336426261782</v>
      </c>
      <c r="G19" s="65" t="n">
        <v>0.5</v>
      </c>
      <c r="H19" s="66" t="str">
        <f aca="false">IF(ABS(F19)&lt;=G19+0.000000001,"OK","РАСХОЖДЕНИЕ")</f>
        <v>OK</v>
      </c>
    </row>
    <row r="20" customFormat="false" ht="15" hidden="false" customHeight="false" outlineLevel="0" collapsed="false">
      <c r="B20" s="13" t="s">
        <v>344</v>
      </c>
      <c r="C20" s="15" t="s">
        <v>340</v>
      </c>
      <c r="D20" s="72" t="n">
        <v>30</v>
      </c>
      <c r="E20" s="73" t="n">
        <f aca="false">Карта!$C$15</f>
        <v>30.2480368820604</v>
      </c>
      <c r="F20" s="64" t="n">
        <f aca="false">E20-D20</f>
        <v>0.24803688206039</v>
      </c>
      <c r="G20" s="65" t="n">
        <v>0.5</v>
      </c>
      <c r="H20" s="66" t="str">
        <f aca="false">IF(ABS(F20)&lt;=G20+0.000000001,"OK","РАСХОЖДЕНИЕ")</f>
        <v>OK</v>
      </c>
    </row>
    <row r="21" customFormat="false" ht="15" hidden="false" customHeight="false" outlineLevel="0" collapsed="false">
      <c r="B21" s="13" t="s">
        <v>345</v>
      </c>
      <c r="C21" s="15" t="s">
        <v>340</v>
      </c>
      <c r="D21" s="19" t="n">
        <v>7.3</v>
      </c>
      <c r="E21" s="29" t="n">
        <f aca="false">Карта!$C$6</f>
        <v>7.288</v>
      </c>
      <c r="F21" s="64" t="n">
        <f aca="false">E21-D21</f>
        <v>-0.0119999999999996</v>
      </c>
      <c r="G21" s="65" t="n">
        <v>0.05</v>
      </c>
      <c r="H21" s="66" t="str">
        <f aca="false">IF(ABS(F21)&lt;=G21+0.000000001,"OK","РАСХОЖДЕНИЕ")</f>
        <v>OK</v>
      </c>
    </row>
    <row r="22" customFormat="false" ht="15" hidden="false" customHeight="false" outlineLevel="0" collapsed="false">
      <c r="B22" s="13" t="s">
        <v>346</v>
      </c>
      <c r="C22" s="15" t="s">
        <v>340</v>
      </c>
      <c r="D22" s="19" t="n">
        <v>7.6</v>
      </c>
      <c r="E22" s="29" t="n">
        <f aca="false">Карта!$C$7</f>
        <v>7.56702127659575</v>
      </c>
      <c r="F22" s="64" t="n">
        <f aca="false">E22-D22</f>
        <v>-0.0329787234042547</v>
      </c>
      <c r="G22" s="65" t="n">
        <v>0.05</v>
      </c>
      <c r="H22" s="66" t="str">
        <f aca="false">IF(ABS(F22)&lt;=G22+0.000000001,"OK","РАСХОЖДЕНИЕ")</f>
        <v>OK</v>
      </c>
    </row>
    <row r="23" customFormat="false" ht="15" hidden="false" customHeight="false" outlineLevel="0" collapsed="false">
      <c r="B23" s="13" t="s">
        <v>347</v>
      </c>
      <c r="C23" s="15" t="s">
        <v>330</v>
      </c>
      <c r="D23" s="18" t="n">
        <v>-77</v>
      </c>
      <c r="E23" s="71" t="n">
        <f aca="false">Юнит_экономика!$C$7</f>
        <v>-76.5083066161469</v>
      </c>
      <c r="F23" s="64" t="n">
        <f aca="false">E23-D23</f>
        <v>0.491693383853104</v>
      </c>
      <c r="G23" s="65" t="n">
        <v>1</v>
      </c>
      <c r="H23" s="66" t="str">
        <f aca="false">IF(ABS(F23)&lt;=G23+0.000000001,"OK","РАСХОЖДЕНИЕ")</f>
        <v>OK</v>
      </c>
    </row>
    <row r="24" customFormat="false" ht="15" hidden="false" customHeight="false" outlineLevel="0" collapsed="false">
      <c r="B24" s="13" t="s">
        <v>348</v>
      </c>
      <c r="C24" s="15" t="s">
        <v>330</v>
      </c>
      <c r="D24" s="18" t="n">
        <v>-173</v>
      </c>
      <c r="E24" s="71" t="n">
        <f aca="false">Юнит_экономика!$C$8</f>
        <v>-172.73</v>
      </c>
      <c r="F24" s="64" t="n">
        <f aca="false">E24-D24</f>
        <v>0.269999999999982</v>
      </c>
      <c r="G24" s="65" t="n">
        <v>1</v>
      </c>
      <c r="H24" s="66" t="str">
        <f aca="false">IF(ABS(F24)&lt;=G24+0.000000001,"OK","РАСХОЖДЕНИЕ")</f>
        <v>OK</v>
      </c>
    </row>
    <row r="25" customFormat="false" ht="15" hidden="false" customHeight="false" outlineLevel="0" collapsed="false">
      <c r="B25" s="13" t="s">
        <v>349</v>
      </c>
      <c r="C25" s="15" t="s">
        <v>330</v>
      </c>
      <c r="D25" s="18" t="n">
        <v>3505</v>
      </c>
      <c r="E25" s="71" t="n">
        <f aca="false">Юнит_экономика!$C$9</f>
        <v>3505.76169338385</v>
      </c>
      <c r="F25" s="64" t="n">
        <f aca="false">E25-D25</f>
        <v>0.761693383853071</v>
      </c>
      <c r="G25" s="65" t="n">
        <v>1</v>
      </c>
      <c r="H25" s="66" t="str">
        <f aca="false">IF(ABS(F25)&lt;=G25+0.000000001,"OK","РАСХОЖДЕНИЕ")</f>
        <v>OK</v>
      </c>
    </row>
    <row r="26" customFormat="false" ht="15" hidden="false" customHeight="false" outlineLevel="0" collapsed="false">
      <c r="B26" s="13" t="s">
        <v>350</v>
      </c>
      <c r="C26" s="15" t="s">
        <v>330</v>
      </c>
      <c r="D26" s="18" t="n">
        <v>-161</v>
      </c>
      <c r="E26" s="71" t="n">
        <f aca="false">Юнит_экономика!$C$10</f>
        <v>-161.465</v>
      </c>
      <c r="F26" s="64" t="n">
        <f aca="false">E26-D26</f>
        <v>-0.465000000000003</v>
      </c>
      <c r="G26" s="65" t="n">
        <v>1</v>
      </c>
      <c r="H26" s="66" t="str">
        <f aca="false">IF(ABS(F26)&lt;=G26+0.000000001,"OK","РАСХОЖДЕНИЕ")</f>
        <v>OK</v>
      </c>
    </row>
    <row r="27" customFormat="false" ht="15" hidden="false" customHeight="false" outlineLevel="0" collapsed="false">
      <c r="B27" s="13" t="s">
        <v>351</v>
      </c>
      <c r="C27" s="15" t="s">
        <v>330</v>
      </c>
      <c r="D27" s="18" t="n">
        <v>3344</v>
      </c>
      <c r="E27" s="71" t="n">
        <f aca="false">Юнит_экономика!$C$11</f>
        <v>3344.29669338385</v>
      </c>
      <c r="F27" s="64" t="n">
        <f aca="false">E27-D27</f>
        <v>0.296693383852926</v>
      </c>
      <c r="G27" s="65" t="n">
        <v>1</v>
      </c>
      <c r="H27" s="66" t="str">
        <f aca="false">IF(ABS(F27)&lt;=G27+0.000000001,"OK","РАСХОЖДЕНИЕ")</f>
        <v>OK</v>
      </c>
    </row>
    <row r="28" customFormat="false" ht="15" hidden="false" customHeight="false" outlineLevel="0" collapsed="false">
      <c r="B28" s="13" t="s">
        <v>352</v>
      </c>
      <c r="C28" s="15" t="s">
        <v>330</v>
      </c>
      <c r="D28" s="18" t="n">
        <v>-2268</v>
      </c>
      <c r="E28" s="71" t="n">
        <f aca="false">Юнит_экономика!$C$12</f>
        <v>-2268.14339842612</v>
      </c>
      <c r="F28" s="64" t="n">
        <f aca="false">E28-D28</f>
        <v>-0.1433984261148</v>
      </c>
      <c r="G28" s="65" t="n">
        <v>1</v>
      </c>
      <c r="H28" s="66" t="str">
        <f aca="false">IF(ABS(F28)&lt;=G28+0.000000001,"OK","РАСХОЖДЕНИЕ")</f>
        <v>OK</v>
      </c>
    </row>
    <row r="29" customFormat="false" ht="15" hidden="false" customHeight="false" outlineLevel="0" collapsed="false">
      <c r="B29" s="13" t="s">
        <v>353</v>
      </c>
      <c r="C29" s="15" t="s">
        <v>330</v>
      </c>
      <c r="D29" s="18" t="n">
        <v>1076</v>
      </c>
      <c r="E29" s="71" t="n">
        <f aca="false">Юнит_экономика!$C$13</f>
        <v>1076.15329495774</v>
      </c>
      <c r="F29" s="64" t="n">
        <f aca="false">E29-D29</f>
        <v>0.153294957738126</v>
      </c>
      <c r="G29" s="65" t="n">
        <v>1</v>
      </c>
      <c r="H29" s="66" t="str">
        <f aca="false">IF(ABS(F29)&lt;=G29+0.000000001,"OK","РАСХОЖДЕНИЕ")</f>
        <v>OK</v>
      </c>
    </row>
    <row r="30" customFormat="false" ht="15" hidden="false" customHeight="false" outlineLevel="0" collapsed="false">
      <c r="B30" s="13" t="s">
        <v>354</v>
      </c>
      <c r="C30" s="15" t="s">
        <v>330</v>
      </c>
      <c r="D30" s="18" t="n">
        <v>-234</v>
      </c>
      <c r="E30" s="71" t="n">
        <f aca="false">Юнит_экономика!$C$14</f>
        <v>-234.561922180122</v>
      </c>
      <c r="F30" s="64" t="n">
        <f aca="false">E30-D30</f>
        <v>-0.561922180121883</v>
      </c>
      <c r="G30" s="65" t="n">
        <v>1</v>
      </c>
      <c r="H30" s="66" t="str">
        <f aca="false">IF(ABS(F30)&lt;=G30+0.000000001,"OK","РАСХОЖДЕНИЕ")</f>
        <v>OK</v>
      </c>
    </row>
    <row r="31" customFormat="false" ht="15" hidden="false" customHeight="false" outlineLevel="0" collapsed="false">
      <c r="B31" s="13" t="s">
        <v>355</v>
      </c>
      <c r="C31" s="15" t="s">
        <v>330</v>
      </c>
      <c r="D31" s="18" t="n">
        <v>842</v>
      </c>
      <c r="E31" s="71" t="n">
        <f aca="false">Юнит_экономика!$C$15</f>
        <v>841.591372777616</v>
      </c>
      <c r="F31" s="64" t="n">
        <f aca="false">E31-D31</f>
        <v>-0.408627222383757</v>
      </c>
      <c r="G31" s="65" t="n">
        <v>1</v>
      </c>
      <c r="H31" s="66" t="str">
        <f aca="false">IF(ABS(F31)&lt;=G31+0.000000001,"OK","РАСХОЖДЕНИЕ")</f>
        <v>OK</v>
      </c>
    </row>
    <row r="32" customFormat="false" ht="15" hidden="false" customHeight="false" outlineLevel="0" collapsed="false">
      <c r="B32" s="13" t="s">
        <v>356</v>
      </c>
      <c r="C32" s="15" t="s">
        <v>330</v>
      </c>
      <c r="D32" s="19" t="n">
        <v>100</v>
      </c>
      <c r="E32" s="29" t="n">
        <f aca="false">Юнит_экономика!$C$20</f>
        <v>100</v>
      </c>
      <c r="F32" s="64" t="n">
        <f aca="false">E32-D32</f>
        <v>0</v>
      </c>
      <c r="G32" s="65" t="n">
        <v>0.05</v>
      </c>
      <c r="H32" s="66" t="str">
        <f aca="false">IF(ABS(F32)&lt;=G32+0.000000001,"OK","РАСХОЖДЕНИЕ")</f>
        <v>OK</v>
      </c>
    </row>
    <row r="33" customFormat="false" ht="15" hidden="false" customHeight="false" outlineLevel="0" collapsed="false">
      <c r="B33" s="13" t="s">
        <v>357</v>
      </c>
      <c r="C33" s="15" t="s">
        <v>330</v>
      </c>
      <c r="D33" s="19" t="n">
        <v>-71.6</v>
      </c>
      <c r="E33" s="29" t="n">
        <f aca="false">Юнит_экономика!$C$21</f>
        <v>-71.6375</v>
      </c>
      <c r="F33" s="64" t="n">
        <f aca="false">E33-D33</f>
        <v>-0.0374999999999943</v>
      </c>
      <c r="G33" s="65" t="n">
        <v>0.05</v>
      </c>
      <c r="H33" s="66" t="str">
        <f aca="false">IF(ABS(F33)&lt;=G33+0.000000001,"OK","РАСХОЖДЕНИЕ")</f>
        <v>OK</v>
      </c>
    </row>
    <row r="34" customFormat="false" ht="15" hidden="false" customHeight="false" outlineLevel="0" collapsed="false">
      <c r="B34" s="13" t="s">
        <v>358</v>
      </c>
      <c r="C34" s="15" t="s">
        <v>330</v>
      </c>
      <c r="D34" s="19" t="n">
        <v>-4.3</v>
      </c>
      <c r="E34" s="29" t="n">
        <f aca="false">Юнит_экономика!$C$22</f>
        <v>-4.3</v>
      </c>
      <c r="F34" s="64" t="n">
        <f aca="false">E34-D34</f>
        <v>0</v>
      </c>
      <c r="G34" s="65" t="n">
        <v>0.05</v>
      </c>
      <c r="H34" s="66" t="str">
        <f aca="false">IF(ABS(F34)&lt;=G34+0.000000001,"OK","РАСХОЖДЕНИЕ")</f>
        <v>OK</v>
      </c>
    </row>
    <row r="35" customFormat="false" ht="15" hidden="false" customHeight="false" outlineLevel="0" collapsed="false">
      <c r="B35" s="13" t="s">
        <v>359</v>
      </c>
      <c r="C35" s="15" t="s">
        <v>330</v>
      </c>
      <c r="D35" s="19" t="n">
        <v>24.1</v>
      </c>
      <c r="E35" s="29" t="n">
        <f aca="false">Юнит_экономика!$C$23</f>
        <v>24.0625</v>
      </c>
      <c r="F35" s="64" t="n">
        <f aca="false">E35-D35</f>
        <v>-0.0374999999999908</v>
      </c>
      <c r="G35" s="65" t="n">
        <v>0.05</v>
      </c>
      <c r="H35" s="66" t="str">
        <f aca="false">IF(ABS(F35)&lt;=G35+0.000000001,"OK","РАСХОЖДЕНИЕ")</f>
        <v>OK</v>
      </c>
    </row>
    <row r="36" customFormat="false" ht="15" hidden="false" customHeight="false" outlineLevel="0" collapsed="false">
      <c r="B36" s="13" t="s">
        <v>360</v>
      </c>
      <c r="C36" s="15" t="s">
        <v>361</v>
      </c>
      <c r="D36" s="19" t="n">
        <v>121.4</v>
      </c>
      <c r="E36" s="29" t="n">
        <f aca="false">Стресс_тесты!$N$17</f>
        <v>121.37</v>
      </c>
      <c r="F36" s="64" t="n">
        <f aca="false">E36-D36</f>
        <v>-0.0299999999999727</v>
      </c>
      <c r="G36" s="65" t="n">
        <v>0.05</v>
      </c>
      <c r="H36" s="66" t="str">
        <f aca="false">IF(ABS(F36)&lt;=G36+0.000000001,"OK","РАСХОЖДЕНИЕ")</f>
        <v>OK</v>
      </c>
    </row>
    <row r="37" customFormat="false" ht="15" hidden="false" customHeight="false" outlineLevel="0" collapsed="false">
      <c r="B37" s="13" t="s">
        <v>362</v>
      </c>
      <c r="C37" s="15" t="s">
        <v>361</v>
      </c>
      <c r="D37" s="19" t="n">
        <v>-71.1</v>
      </c>
      <c r="E37" s="29" t="n">
        <f aca="false">Стресс_тесты!$O$17</f>
        <v>-71.13</v>
      </c>
      <c r="F37" s="64" t="n">
        <f aca="false">E37-D37</f>
        <v>-0.0300000000000011</v>
      </c>
      <c r="G37" s="65" t="n">
        <v>0.05</v>
      </c>
      <c r="H37" s="66" t="str">
        <f aca="false">IF(ABS(F37)&lt;=G37+0.000000001,"OK","РАСХОЖДЕНИЕ")</f>
        <v>OK</v>
      </c>
    </row>
    <row r="38" customFormat="false" ht="15" hidden="false" customHeight="false" outlineLevel="0" collapsed="false">
      <c r="B38" s="13" t="s">
        <v>363</v>
      </c>
      <c r="C38" s="15" t="s">
        <v>361</v>
      </c>
      <c r="D38" s="17" t="n">
        <v>0.169</v>
      </c>
      <c r="E38" s="67" t="n">
        <f aca="false">Стресс_тесты!$Q$17</f>
        <v>0.168569444444445</v>
      </c>
      <c r="F38" s="64" t="n">
        <f aca="false">E38-D38</f>
        <v>-0.000430555555555517</v>
      </c>
      <c r="G38" s="68" t="n">
        <v>0.0005</v>
      </c>
      <c r="H38" s="66" t="str">
        <f aca="false">IF(ABS(F38)&lt;=G38+0.000000001,"OK","РАСХОЖДЕНИЕ")</f>
        <v>OK</v>
      </c>
    </row>
    <row r="39" customFormat="false" ht="15" hidden="false" customHeight="false" outlineLevel="0" collapsed="false">
      <c r="B39" s="13" t="s">
        <v>364</v>
      </c>
      <c r="C39" s="15" t="s">
        <v>361</v>
      </c>
      <c r="D39" s="19" t="n">
        <v>85.8</v>
      </c>
      <c r="E39" s="29" t="n">
        <f aca="false">Стресс_тесты!$N$18</f>
        <v>85.805</v>
      </c>
      <c r="F39" s="64" t="n">
        <f aca="false">E39-D39</f>
        <v>0.00500000000003809</v>
      </c>
      <c r="G39" s="65" t="n">
        <v>0.05</v>
      </c>
      <c r="H39" s="66" t="str">
        <f aca="false">IF(ABS(F39)&lt;=G39+0.000000001,"OK","РАСХОЖДЕНИЕ")</f>
        <v>OK</v>
      </c>
    </row>
    <row r="40" customFormat="false" ht="15" hidden="false" customHeight="false" outlineLevel="0" collapsed="false">
      <c r="B40" s="13" t="s">
        <v>365</v>
      </c>
      <c r="C40" s="15" t="s">
        <v>361</v>
      </c>
      <c r="D40" s="19" t="n">
        <v>-106.7</v>
      </c>
      <c r="E40" s="29" t="n">
        <f aca="false">Стресс_тесты!$O$18</f>
        <v>-106.695</v>
      </c>
      <c r="F40" s="64" t="n">
        <f aca="false">E40-D40</f>
        <v>0.00500000000000966</v>
      </c>
      <c r="G40" s="65" t="n">
        <v>0.05</v>
      </c>
      <c r="H40" s="66" t="str">
        <f aca="false">IF(ABS(F40)&lt;=G40+0.000000001,"OK","РАСХОЖДЕНИЕ")</f>
        <v>OK</v>
      </c>
    </row>
    <row r="41" customFormat="false" ht="15" hidden="false" customHeight="false" outlineLevel="0" collapsed="false">
      <c r="B41" s="13" t="s">
        <v>366</v>
      </c>
      <c r="C41" s="15" t="s">
        <v>361</v>
      </c>
      <c r="D41" s="17" t="n">
        <v>0.126</v>
      </c>
      <c r="E41" s="67" t="n">
        <f aca="false">Стресс_тесты!$Q$18</f>
        <v>0.126183823529412</v>
      </c>
      <c r="F41" s="64" t="n">
        <f aca="false">E41-D41</f>
        <v>0.00018382352941182</v>
      </c>
      <c r="G41" s="68" t="n">
        <v>0.0005</v>
      </c>
      <c r="H41" s="66" t="str">
        <f aca="false">IF(ABS(F41)&lt;=G41+0.000000001,"OK","РАСХОЖДЕНИЕ")</f>
        <v>OK</v>
      </c>
    </row>
    <row r="42" customFormat="false" ht="15" hidden="false" customHeight="false" outlineLevel="0" collapsed="false">
      <c r="B42" s="13" t="s">
        <v>367</v>
      </c>
      <c r="C42" s="15" t="s">
        <v>361</v>
      </c>
      <c r="D42" s="19" t="n">
        <v>132.7</v>
      </c>
      <c r="E42" s="29" t="n">
        <f aca="false">Стресс_тесты!$N$19</f>
        <v>132.652</v>
      </c>
      <c r="F42" s="64" t="n">
        <f aca="false">E42-D42</f>
        <v>-0.047999999999945</v>
      </c>
      <c r="G42" s="65" t="n">
        <v>0.05</v>
      </c>
      <c r="H42" s="66" t="str">
        <f aca="false">IF(ABS(F42)&lt;=G42+0.000000001,"OK","РАСХОЖДЕНИЕ")</f>
        <v>OK</v>
      </c>
    </row>
    <row r="43" customFormat="false" ht="15" hidden="false" customHeight="false" outlineLevel="0" collapsed="false">
      <c r="B43" s="13" t="s">
        <v>368</v>
      </c>
      <c r="C43" s="15" t="s">
        <v>361</v>
      </c>
      <c r="D43" s="19" t="n">
        <v>-59.8</v>
      </c>
      <c r="E43" s="29" t="n">
        <f aca="false">Стресс_тесты!$O$19</f>
        <v>-59.848</v>
      </c>
      <c r="F43" s="64" t="n">
        <f aca="false">E43-D43</f>
        <v>-0.0480000000000018</v>
      </c>
      <c r="G43" s="65" t="n">
        <v>0.05</v>
      </c>
      <c r="H43" s="66" t="str">
        <f aca="false">IF(ABS(F43)&lt;=G43+0.000000001,"OK","РАСХОЖДЕНИЕ")</f>
        <v>OK</v>
      </c>
    </row>
    <row r="44" customFormat="false" ht="15" hidden="false" customHeight="false" outlineLevel="0" collapsed="false">
      <c r="B44" s="13" t="s">
        <v>369</v>
      </c>
      <c r="C44" s="15" t="s">
        <v>361</v>
      </c>
      <c r="D44" s="17" t="n">
        <v>0.18</v>
      </c>
      <c r="E44" s="67" t="n">
        <f aca="false">Стресс_тесты!$Q$19</f>
        <v>0.180233695652174</v>
      </c>
      <c r="F44" s="64" t="n">
        <f aca="false">E44-D44</f>
        <v>0.000233695652173987</v>
      </c>
      <c r="G44" s="68" t="n">
        <v>0.0005</v>
      </c>
      <c r="H44" s="66" t="str">
        <f aca="false">IF(ABS(F44)&lt;=G44+0.000000001,"OK","РАСХОЖДЕНИЕ")</f>
        <v>OK</v>
      </c>
    </row>
    <row r="45" customFormat="false" ht="15" hidden="false" customHeight="false" outlineLevel="0" collapsed="false">
      <c r="B45" s="13" t="s">
        <v>370</v>
      </c>
      <c r="C45" s="15" t="s">
        <v>361</v>
      </c>
      <c r="D45" s="19" t="n">
        <v>157.5</v>
      </c>
      <c r="E45" s="29" t="n">
        <f aca="false">Стресс_тесты!$N$20</f>
        <v>157.5</v>
      </c>
      <c r="F45" s="64" t="n">
        <f aca="false">E45-D45</f>
        <v>0</v>
      </c>
      <c r="G45" s="65" t="n">
        <v>0.05</v>
      </c>
      <c r="H45" s="66" t="str">
        <f aca="false">IF(ABS(F45)&lt;=G45+0.000000001,"OK","РАСХОЖДЕНИЕ")</f>
        <v>OK</v>
      </c>
    </row>
    <row r="46" customFormat="false" ht="15" hidden="false" customHeight="false" outlineLevel="0" collapsed="false">
      <c r="B46" s="13" t="s">
        <v>371</v>
      </c>
      <c r="C46" s="15" t="s">
        <v>361</v>
      </c>
      <c r="D46" s="19" t="n">
        <v>-35</v>
      </c>
      <c r="E46" s="29" t="n">
        <f aca="false">Стресс_тесты!$O$20</f>
        <v>-35</v>
      </c>
      <c r="F46" s="64" t="n">
        <f aca="false">E46-D46</f>
        <v>0</v>
      </c>
      <c r="G46" s="65" t="n">
        <v>0.05</v>
      </c>
      <c r="H46" s="66" t="str">
        <f aca="false">IF(ABS(F46)&lt;=G46+0.000000001,"OK","РАСХОЖДЕНИЕ")</f>
        <v>OK</v>
      </c>
    </row>
    <row r="47" customFormat="false" ht="15" hidden="false" customHeight="false" outlineLevel="0" collapsed="false">
      <c r="B47" s="13" t="s">
        <v>372</v>
      </c>
      <c r="C47" s="15" t="s">
        <v>361</v>
      </c>
      <c r="D47" s="17" t="n">
        <v>0.197</v>
      </c>
      <c r="E47" s="67" t="n">
        <f aca="false">Стресс_тесты!$Q$20</f>
        <v>0.196875</v>
      </c>
      <c r="F47" s="64" t="n">
        <f aca="false">E47-D47</f>
        <v>-0.000124999999999986</v>
      </c>
      <c r="G47" s="68" t="n">
        <v>0.0005</v>
      </c>
      <c r="H47" s="66" t="str">
        <f aca="false">IF(ABS(F47)&lt;=G47+0.000000001,"OK","РАСХОЖДЕНИЕ")</f>
        <v>OK</v>
      </c>
    </row>
    <row r="48" customFormat="false" ht="15" hidden="false" customHeight="false" outlineLevel="0" collapsed="false">
      <c r="B48" s="13" t="s">
        <v>373</v>
      </c>
      <c r="C48" s="15" t="s">
        <v>361</v>
      </c>
      <c r="D48" s="19" t="n">
        <v>180.5</v>
      </c>
      <c r="E48" s="29" t="n">
        <f aca="false">Стресс_тесты!$N$21</f>
        <v>180.5</v>
      </c>
      <c r="F48" s="64" t="n">
        <f aca="false">E48-D48</f>
        <v>0</v>
      </c>
      <c r="G48" s="65" t="n">
        <v>0.05</v>
      </c>
      <c r="H48" s="66" t="str">
        <f aca="false">IF(ABS(F48)&lt;=G48+0.000000001,"OK","РАСХОЖДЕНИЕ")</f>
        <v>OK</v>
      </c>
    </row>
    <row r="49" customFormat="false" ht="15" hidden="false" customHeight="false" outlineLevel="0" collapsed="false">
      <c r="B49" s="13" t="s">
        <v>374</v>
      </c>
      <c r="C49" s="15" t="s">
        <v>361</v>
      </c>
      <c r="D49" s="19" t="n">
        <v>-12</v>
      </c>
      <c r="E49" s="29" t="n">
        <f aca="false">Стресс_тесты!$O$21</f>
        <v>-12</v>
      </c>
      <c r="F49" s="64" t="n">
        <f aca="false">E49-D49</f>
        <v>0</v>
      </c>
      <c r="G49" s="65" t="n">
        <v>0.05</v>
      </c>
      <c r="H49" s="66" t="str">
        <f aca="false">IF(ABS(F49)&lt;=G49+0.000000001,"OK","РАСХОЖДЕНИЕ")</f>
        <v>OK</v>
      </c>
    </row>
    <row r="50" customFormat="false" ht="15" hidden="false" customHeight="false" outlineLevel="0" collapsed="false">
      <c r="B50" s="13" t="s">
        <v>375</v>
      </c>
      <c r="C50" s="15" t="s">
        <v>361</v>
      </c>
      <c r="D50" s="17" t="n">
        <v>0.226</v>
      </c>
      <c r="E50" s="67" t="n">
        <f aca="false">Стресс_тесты!$Q$21</f>
        <v>0.225625</v>
      </c>
      <c r="F50" s="64" t="n">
        <f aca="false">E50-D50</f>
        <v>-0.000374999999999959</v>
      </c>
      <c r="G50" s="68" t="n">
        <v>0.0005</v>
      </c>
      <c r="H50" s="66" t="str">
        <f aca="false">IF(ABS(F50)&lt;=G50+0.000000001,"OK","РАСХОЖДЕНИЕ")</f>
        <v>OK</v>
      </c>
    </row>
    <row r="51" customFormat="false" ht="15" hidden="false" customHeight="false" outlineLevel="0" collapsed="false">
      <c r="B51" s="13" t="s">
        <v>376</v>
      </c>
      <c r="C51" s="15" t="s">
        <v>361</v>
      </c>
      <c r="D51" s="19" t="n">
        <v>132.5</v>
      </c>
      <c r="E51" s="29" t="n">
        <f aca="false">Стресс_тесты!$N$22</f>
        <v>132.5</v>
      </c>
      <c r="F51" s="64" t="n">
        <f aca="false">E51-D51</f>
        <v>0</v>
      </c>
      <c r="G51" s="65" t="n">
        <v>0.05</v>
      </c>
      <c r="H51" s="66" t="str">
        <f aca="false">IF(ABS(F51)&lt;=G51+0.000000001,"OK","РАСХОЖДЕНИЕ")</f>
        <v>OK</v>
      </c>
    </row>
    <row r="52" customFormat="false" ht="15" hidden="false" customHeight="false" outlineLevel="0" collapsed="false">
      <c r="B52" s="13" t="s">
        <v>377</v>
      </c>
      <c r="C52" s="15" t="s">
        <v>361</v>
      </c>
      <c r="D52" s="19" t="n">
        <v>-60</v>
      </c>
      <c r="E52" s="29" t="n">
        <f aca="false">Стресс_тесты!$O$22</f>
        <v>-60</v>
      </c>
      <c r="F52" s="64" t="n">
        <f aca="false">E52-D52</f>
        <v>0</v>
      </c>
      <c r="G52" s="65" t="n">
        <v>0.05</v>
      </c>
      <c r="H52" s="66" t="str">
        <f aca="false">IF(ABS(F52)&lt;=G52+0.000000001,"OK","РАСХОЖДЕНИЕ")</f>
        <v>OK</v>
      </c>
    </row>
    <row r="53" customFormat="false" ht="15" hidden="false" customHeight="false" outlineLevel="0" collapsed="false">
      <c r="B53" s="13" t="s">
        <v>378</v>
      </c>
      <c r="C53" s="15" t="s">
        <v>361</v>
      </c>
      <c r="D53" s="17" t="n">
        <v>0.166</v>
      </c>
      <c r="E53" s="67" t="n">
        <f aca="false">Стресс_тесты!$Q$22</f>
        <v>0.165625</v>
      </c>
      <c r="F53" s="64" t="n">
        <f aca="false">E53-D53</f>
        <v>-0.000374999999999986</v>
      </c>
      <c r="G53" s="68" t="n">
        <v>0.0005</v>
      </c>
      <c r="H53" s="66" t="str">
        <f aca="false">IF(ABS(F53)&lt;=G53+0.000000001,"OK","РАСХОЖДЕНИЕ")</f>
        <v>OK</v>
      </c>
    </row>
    <row r="54" customFormat="false" ht="15" hidden="false" customHeight="false" outlineLevel="0" collapsed="false">
      <c r="B54" s="13" t="s">
        <v>379</v>
      </c>
      <c r="C54" s="15" t="s">
        <v>380</v>
      </c>
      <c r="D54" s="19" t="n">
        <v>8.7</v>
      </c>
      <c r="E54" s="29" t="n">
        <f aca="false">Мост_прибыли!$E$34</f>
        <v>8.67698</v>
      </c>
      <c r="F54" s="64" t="n">
        <f aca="false">E54-D54</f>
        <v>-0.0230199999999972</v>
      </c>
      <c r="G54" s="65" t="n">
        <v>0.05</v>
      </c>
      <c r="H54" s="66" t="str">
        <f aca="false">IF(ABS(F54)&lt;=G54+0.000000001,"OK","РАСХОЖДЕНИЕ")</f>
        <v>OK</v>
      </c>
    </row>
    <row r="55" customFormat="false" ht="15" hidden="false" customHeight="false" outlineLevel="0" collapsed="false">
      <c r="B55" s="13" t="s">
        <v>381</v>
      </c>
      <c r="C55" s="15" t="s">
        <v>380</v>
      </c>
      <c r="D55" s="19" t="n">
        <v>7.8</v>
      </c>
      <c r="E55" s="29" t="n">
        <f aca="false">Мост_прибыли!$E$35</f>
        <v>7.82978723404256</v>
      </c>
      <c r="F55" s="64" t="n">
        <f aca="false">E55-D55</f>
        <v>0.0297872340425549</v>
      </c>
      <c r="G55" s="65" t="n">
        <v>0.05</v>
      </c>
      <c r="H55" s="66" t="str">
        <f aca="false">IF(ABS(F55)&lt;=G55+0.000000001,"OK","РАСХОЖДЕНИЕ")</f>
        <v>OK</v>
      </c>
    </row>
    <row r="56" customFormat="false" ht="15" hidden="false" customHeight="false" outlineLevel="0" collapsed="false">
      <c r="B56" s="13" t="s">
        <v>382</v>
      </c>
      <c r="C56" s="15" t="s">
        <v>380</v>
      </c>
      <c r="D56" s="19" t="n">
        <v>6</v>
      </c>
      <c r="E56" s="29" t="n">
        <f aca="false">Мост_прибыли!$E$36</f>
        <v>6</v>
      </c>
      <c r="F56" s="64" t="n">
        <f aca="false">E56-D56</f>
        <v>0</v>
      </c>
      <c r="G56" s="65" t="n">
        <v>0.05</v>
      </c>
      <c r="H56" s="66" t="str">
        <f aca="false">IF(ABS(F56)&lt;=G56+0.000000001,"OK","РАСХОЖДЕНИЕ")</f>
        <v>OK</v>
      </c>
    </row>
    <row r="57" customFormat="false" ht="15" hidden="false" customHeight="false" outlineLevel="0" collapsed="false">
      <c r="B57" s="13" t="s">
        <v>383</v>
      </c>
      <c r="C57" s="15" t="s">
        <v>380</v>
      </c>
      <c r="D57" s="19" t="n">
        <v>-8</v>
      </c>
      <c r="E57" s="29" t="n">
        <f aca="false">(Мост_прибыли!$E$37+Мост_прибыли!$E$38)</f>
        <v>-8</v>
      </c>
      <c r="F57" s="64" t="n">
        <f aca="false">E57-D57</f>
        <v>0</v>
      </c>
      <c r="G57" s="65" t="n">
        <v>0.05</v>
      </c>
      <c r="H57" s="66" t="str">
        <f aca="false">IF(ABS(F57)&lt;=G57+0.000000001,"OK","РАСХОЖДЕНИЕ")</f>
        <v>OK</v>
      </c>
    </row>
    <row r="58" customFormat="false" ht="15" hidden="false" customHeight="false" outlineLevel="0" collapsed="false">
      <c r="B58" s="13" t="s">
        <v>384</v>
      </c>
      <c r="C58" s="15" t="s">
        <v>380</v>
      </c>
      <c r="D58" s="19" t="n">
        <v>16.2</v>
      </c>
      <c r="E58" s="29" t="n">
        <f aca="false">Мост_прибыли!$F$39</f>
        <v>16.15075</v>
      </c>
      <c r="F58" s="64" t="n">
        <f aca="false">E58-D58</f>
        <v>-0.0492500000000007</v>
      </c>
      <c r="G58" s="65" t="n">
        <v>0.06</v>
      </c>
      <c r="H58" s="66" t="str">
        <f aca="false">IF(ABS(F58)&lt;=G58+0.000000001,"OK","РАСХОЖДЕНИЕ")</f>
        <v>OK</v>
      </c>
    </row>
    <row r="59" customFormat="false" ht="15" hidden="false" customHeight="false" outlineLevel="0" collapsed="false">
      <c r="B59" s="13" t="s">
        <v>385</v>
      </c>
      <c r="C59" s="15" t="s">
        <v>380</v>
      </c>
      <c r="D59" s="19" t="n">
        <v>14.5</v>
      </c>
      <c r="E59" s="29" t="n">
        <f aca="false">Мост_прибыли!$E$40</f>
        <v>14.5067672340426</v>
      </c>
      <c r="F59" s="64" t="n">
        <f aca="false">E59-D59</f>
        <v>0.00676723404255597</v>
      </c>
      <c r="G59" s="65" t="n">
        <v>0.05</v>
      </c>
      <c r="H59" s="66" t="str">
        <f aca="false">IF(ABS(F59)&lt;=G59+0.000000001,"OK","РАСХОЖДЕНИЕ")</f>
        <v>OK</v>
      </c>
    </row>
    <row r="60" customFormat="false" ht="15" hidden="false" customHeight="false" outlineLevel="0" collapsed="false">
      <c r="B60" s="13" t="s">
        <v>386</v>
      </c>
      <c r="C60" s="15" t="s">
        <v>380</v>
      </c>
      <c r="D60" s="19" t="n">
        <v>30.6</v>
      </c>
      <c r="E60" s="29" t="n">
        <f aca="false">Мост_прибыли!$F$40</f>
        <v>30.6575172340426</v>
      </c>
      <c r="F60" s="64" t="n">
        <f aca="false">E60-D60</f>
        <v>0.0575172340425532</v>
      </c>
      <c r="G60" s="65" t="n">
        <v>0.1</v>
      </c>
      <c r="H60" s="66" t="str">
        <f aca="false">IF(ABS(F60)&lt;=G60+0.000000001,"OK","РАСХОЖДЕНИЕ")</f>
        <v>OK</v>
      </c>
    </row>
    <row r="61" customFormat="false" ht="15" hidden="false" customHeight="false" outlineLevel="0" collapsed="false">
      <c r="B61" s="13" t="s">
        <v>387</v>
      </c>
      <c r="C61" s="15" t="s">
        <v>380</v>
      </c>
      <c r="D61" s="19" t="n">
        <v>14</v>
      </c>
      <c r="E61" s="29" t="n">
        <f aca="false">Мост_прибыли!$E$43</f>
        <v>14.0447064340426</v>
      </c>
      <c r="F61" s="64" t="n">
        <f aca="false">E61-D61</f>
        <v>0.0447064340425563</v>
      </c>
      <c r="G61" s="65" t="n">
        <v>0.05</v>
      </c>
      <c r="H61" s="66" t="str">
        <f aca="false">IF(ABS(F61)&lt;=G61+0.000000001,"OK","РАСХОЖДЕНИЕ")</f>
        <v>OK</v>
      </c>
    </row>
    <row r="62" customFormat="false" ht="15" hidden="false" customHeight="false" outlineLevel="0" collapsed="false">
      <c r="B62" s="13" t="s">
        <v>388</v>
      </c>
      <c r="C62" s="15" t="s">
        <v>380</v>
      </c>
      <c r="D62" s="19" t="n">
        <v>29.5</v>
      </c>
      <c r="E62" s="29" t="n">
        <f aca="false">Мост_прибыли!$F$43</f>
        <v>29.5067684340426</v>
      </c>
      <c r="F62" s="64" t="n">
        <f aca="false">E62-D62</f>
        <v>0.00676843404255578</v>
      </c>
      <c r="G62" s="65" t="n">
        <v>0.05</v>
      </c>
      <c r="H62" s="66" t="str">
        <f aca="false">IF(ABS(F62)&lt;=G62+0.000000001,"OK","РАСХОЖДЕНИЕ")</f>
        <v>OK</v>
      </c>
    </row>
    <row r="63" customFormat="false" ht="15" hidden="false" customHeight="false" outlineLevel="0" collapsed="false">
      <c r="B63" s="13" t="s">
        <v>389</v>
      </c>
      <c r="C63" s="15" t="s">
        <v>380</v>
      </c>
      <c r="D63" s="19" t="n">
        <v>206.5</v>
      </c>
      <c r="E63" s="29" t="n">
        <f aca="false">Мост_прибыли!$E$44</f>
        <v>206.544706434043</v>
      </c>
      <c r="F63" s="64" t="n">
        <f aca="false">E63-D63</f>
        <v>0.044706434042638</v>
      </c>
      <c r="G63" s="65" t="n">
        <v>0.05</v>
      </c>
      <c r="H63" s="66" t="str">
        <f aca="false">IF(ABS(F63)&lt;=G63+0.000000001,"OK","РАСХОЖДЕНИЕ")</f>
        <v>OK</v>
      </c>
    </row>
    <row r="64" customFormat="false" ht="15" hidden="false" customHeight="false" outlineLevel="0" collapsed="false">
      <c r="B64" s="13" t="s">
        <v>390</v>
      </c>
      <c r="C64" s="15" t="s">
        <v>380</v>
      </c>
      <c r="D64" s="19" t="n">
        <v>222</v>
      </c>
      <c r="E64" s="29" t="n">
        <f aca="false">Мост_прибыли!$F$44</f>
        <v>222.006768434043</v>
      </c>
      <c r="F64" s="64" t="n">
        <f aca="false">E64-D64</f>
        <v>0.00676843404264105</v>
      </c>
      <c r="G64" s="65" t="n">
        <v>0.05</v>
      </c>
      <c r="H64" s="66" t="str">
        <f aca="false">IF(ABS(F64)&lt;=G64+0.000000001,"OK","РАСХОЖДЕНИЕ")</f>
        <v>OK</v>
      </c>
    </row>
    <row r="65" customFormat="false" ht="15" hidden="false" customHeight="false" outlineLevel="0" collapsed="false">
      <c r="B65" s="13" t="s">
        <v>391</v>
      </c>
      <c r="C65" s="15" t="s">
        <v>380</v>
      </c>
      <c r="D65" s="19" t="n">
        <v>0</v>
      </c>
      <c r="E65" s="29" t="n">
        <f aca="false">Мост_прибыли!$D$40</f>
        <v>0.331003617021265</v>
      </c>
      <c r="F65" s="64" t="n">
        <f aca="false">E65-D65</f>
        <v>0.331003617021265</v>
      </c>
      <c r="G65" s="65" t="n">
        <v>0.5</v>
      </c>
      <c r="H65" s="66" t="str">
        <f aca="false">IF(ABS(F65)&lt;=G65+0.000000001,"OK","РАСХОЖДЕНИЕ")</f>
        <v>OK</v>
      </c>
    </row>
    <row r="66" customFormat="false" ht="15" hidden="false" customHeight="false" outlineLevel="0" collapsed="false">
      <c r="B66" s="13" t="s">
        <v>392</v>
      </c>
      <c r="C66" s="15" t="s">
        <v>380</v>
      </c>
      <c r="D66" s="72" t="n">
        <v>13</v>
      </c>
      <c r="E66" s="73" t="n">
        <f aca="false">Мост_прибыли!$E$47</f>
        <v>12.8162166183626</v>
      </c>
      <c r="F66" s="64" t="n">
        <f aca="false">E66-D66</f>
        <v>-0.183783381637424</v>
      </c>
      <c r="G66" s="65" t="n">
        <v>0.5</v>
      </c>
      <c r="H66" s="66" t="str">
        <f aca="false">IF(ABS(F66)&lt;=G66+0.000000001,"OK","РАСХОЖДЕНИЕ")</f>
        <v>OK</v>
      </c>
    </row>
    <row r="67" customFormat="false" ht="15" hidden="false" customHeight="false" outlineLevel="0" collapsed="false">
      <c r="B67" s="13" t="s">
        <v>393</v>
      </c>
      <c r="C67" s="15" t="s">
        <v>380</v>
      </c>
      <c r="D67" s="72" t="n">
        <v>6</v>
      </c>
      <c r="E67" s="73" t="n">
        <f aca="false">Мост_прибыли!$F$47</f>
        <v>6.10029527301032</v>
      </c>
      <c r="F67" s="64" t="n">
        <f aca="false">E67-D67</f>
        <v>0.100295273010323</v>
      </c>
      <c r="G67" s="65" t="n">
        <v>0.5</v>
      </c>
      <c r="H67" s="66" t="str">
        <f aca="false">IF(ABS(F67)&lt;=G67+0.000000001,"OK","РАСХОЖДЕНИЕ")</f>
        <v>OK</v>
      </c>
    </row>
    <row r="68" customFormat="false" ht="15" hidden="false" customHeight="false" outlineLevel="0" collapsed="false">
      <c r="B68" s="13" t="s">
        <v>394</v>
      </c>
      <c r="C68" s="15" t="s">
        <v>380</v>
      </c>
      <c r="D68" s="65" t="n">
        <v>0.3</v>
      </c>
      <c r="E68" s="74" t="n">
        <f aca="false">(Мост_прибыли!$E$48/1000)</f>
        <v>0.325609431625532</v>
      </c>
      <c r="F68" s="64" t="n">
        <f aca="false">E68-D68</f>
        <v>0.025609431625532</v>
      </c>
      <c r="G68" s="65" t="n">
        <v>0.05</v>
      </c>
      <c r="H68" s="66" t="str">
        <f aca="false">IF(ABS(F68)&lt;=G68+0.000000001,"OK","РАСХОЖДЕНИЕ")</f>
        <v>OK</v>
      </c>
    </row>
    <row r="69" customFormat="false" ht="15" hidden="false" customHeight="false" outlineLevel="0" collapsed="false">
      <c r="B69" s="13" t="s">
        <v>395</v>
      </c>
      <c r="C69" s="15" t="s">
        <v>380</v>
      </c>
      <c r="D69" s="65" t="n">
        <v>0.9</v>
      </c>
      <c r="E69" s="74" t="n">
        <f aca="false">(Мост_прибыли!$F$48/1000)</f>
        <v>0.882243663625532</v>
      </c>
      <c r="F69" s="64" t="n">
        <f aca="false">E69-D69</f>
        <v>-0.0177563363744681</v>
      </c>
      <c r="G69" s="65" t="n">
        <v>0.05</v>
      </c>
      <c r="H69" s="66" t="str">
        <f aca="false">IF(ABS(F69)&lt;=G69+0.000000001,"OK","РАСХОЖДЕНИЕ")</f>
        <v>OK</v>
      </c>
    </row>
    <row r="70" customFormat="false" ht="15" hidden="false" customHeight="false" outlineLevel="0" collapsed="false">
      <c r="B70" s="13" t="s">
        <v>396</v>
      </c>
      <c r="C70" s="15" t="s">
        <v>380</v>
      </c>
      <c r="D70" s="17" t="n">
        <v>0.037</v>
      </c>
      <c r="E70" s="67" t="n">
        <f aca="false">Мост_прибыли!$D$54</f>
        <v>0.0368051118210863</v>
      </c>
      <c r="F70" s="64" t="n">
        <f aca="false">E70-D70</f>
        <v>-0.000194888178913735</v>
      </c>
      <c r="G70" s="68" t="n">
        <v>0.0005</v>
      </c>
      <c r="H70" s="66" t="str">
        <f aca="false">IF(ABS(F70)&lt;=G70+0.000000001,"OK","РАСХОЖДЕНИЕ")</f>
        <v>OK</v>
      </c>
    </row>
    <row r="71" customFormat="false" ht="15" hidden="false" customHeight="false" outlineLevel="0" collapsed="false">
      <c r="B71" s="13" t="s">
        <v>397</v>
      </c>
      <c r="C71" s="15" t="s">
        <v>398</v>
      </c>
      <c r="D71" s="19" t="n">
        <v>17.5</v>
      </c>
      <c r="E71" s="29" t="n">
        <f aca="false">Мост_прибыли!$D$52</f>
        <v>17.5</v>
      </c>
      <c r="F71" s="64" t="n">
        <f aca="false">E71-D71</f>
        <v>0</v>
      </c>
      <c r="G71" s="65" t="n">
        <v>0.05</v>
      </c>
      <c r="H71" s="66" t="str">
        <f aca="false">IF(ABS(F71)&lt;=G71+0.000000001,"OK","РАСХОЖДЕНИЕ")</f>
        <v>OK</v>
      </c>
    </row>
    <row r="72" customFormat="false" ht="15" hidden="false" customHeight="false" outlineLevel="0" collapsed="false">
      <c r="B72" s="13" t="s">
        <v>399</v>
      </c>
      <c r="C72" s="15" t="s">
        <v>398</v>
      </c>
      <c r="D72" s="19" t="n">
        <v>35</v>
      </c>
      <c r="E72" s="29" t="n">
        <f aca="false">Мост_прибыли!$E$52</f>
        <v>35</v>
      </c>
      <c r="F72" s="64" t="n">
        <f aca="false">E72-D72</f>
        <v>0</v>
      </c>
      <c r="G72" s="65" t="n">
        <v>0.05</v>
      </c>
      <c r="H72" s="66" t="str">
        <f aca="false">IF(ABS(F72)&lt;=G72+0.000000001,"OK","РАСХОЖДЕНИЕ")</f>
        <v>OK</v>
      </c>
    </row>
    <row r="73" customFormat="false" ht="15" hidden="false" customHeight="false" outlineLevel="0" collapsed="false">
      <c r="B73" s="13" t="s">
        <v>400</v>
      </c>
      <c r="C73" s="15" t="s">
        <v>398</v>
      </c>
      <c r="D73" s="65" t="n">
        <v>0.6</v>
      </c>
      <c r="E73" s="74" t="n">
        <f aca="false">(Мост_прибыли!$D$53/1000)</f>
        <v>0.63</v>
      </c>
      <c r="F73" s="64" t="n">
        <f aca="false">E73-D73</f>
        <v>0.03</v>
      </c>
      <c r="G73" s="65" t="n">
        <v>0.05</v>
      </c>
      <c r="H73" s="66" t="str">
        <f aca="false">IF(ABS(F73)&lt;=G73+0.000000001,"OK","РАСХОЖДЕНИЕ")</f>
        <v>OK</v>
      </c>
    </row>
    <row r="74" customFormat="false" ht="15" hidden="false" customHeight="false" outlineLevel="0" collapsed="false">
      <c r="B74" s="13" t="s">
        <v>401</v>
      </c>
      <c r="C74" s="15" t="s">
        <v>398</v>
      </c>
      <c r="D74" s="65" t="n">
        <v>1.3</v>
      </c>
      <c r="E74" s="74" t="n">
        <f aca="false">(Мост_прибыли!$E$53/1000)</f>
        <v>1.26</v>
      </c>
      <c r="F74" s="64" t="n">
        <f aca="false">E74-D74</f>
        <v>-0.04</v>
      </c>
      <c r="G74" s="65" t="n">
        <v>0.05</v>
      </c>
      <c r="H74" s="66" t="str">
        <f aca="false">IF(ABS(F74)&lt;=G74+0.000000001,"OK","РАСХОЖДЕНИЕ")</f>
        <v>OK</v>
      </c>
    </row>
    <row r="76" customFormat="false" ht="15" hidden="false" customHeight="false" outlineLevel="0" collapsed="false">
      <c r="B76" s="3" t="s">
        <v>402</v>
      </c>
    </row>
    <row r="77" customFormat="false" ht="15" hidden="false" customHeight="false" outlineLevel="0" collapsed="false">
      <c r="B77" s="5" t="s">
        <v>403</v>
      </c>
    </row>
    <row r="78" customFormat="false" ht="15" hidden="false" customHeight="false" outlineLevel="0" collapsed="false">
      <c r="B78" s="5" t="s">
        <v>404</v>
      </c>
    </row>
    <row r="79" customFormat="false" ht="15" hidden="false" customHeight="false" outlineLevel="0" collapsed="false">
      <c r="B79" s="5" t="s">
        <v>405</v>
      </c>
    </row>
    <row r="80" customFormat="false" ht="15" hidden="false" customHeight="false" outlineLevel="0" collapsed="false">
      <c r="B80" s="5" t="s">
        <v>406</v>
      </c>
    </row>
  </sheetData>
  <conditionalFormatting sqref="H7:H74">
    <cfRule type="expression" priority="2" aboveAverage="0" equalAverage="0" bottom="0" percent="0" rank="0" text="" dxfId="1">
      <formula>H7="РАСХОЖДЕНИЕ"</formula>
    </cfRule>
    <cfRule type="expression" priority="3" aboveAverage="0" equalAverage="0" bottom="0" percent="0" rank="0" text="" dxfId="2">
      <formula>H7="OK"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2026-10-28T07:52:16Z</dcterms:created>
  <dc:creator>openpyxl</dc:creator>
  <dc:description/>
  <dc:language>en-US</dc:language>
  <cp:lastModifiedBy/>
  <dcterms:modified xsi:type="dcterms:W3CDTF">2026-10-28T10:52:18Z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